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3b8714300244e88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agon\Desktop\Social analytics Project\"/>
    </mc:Choice>
  </mc:AlternateContent>
  <xr:revisionPtr revIDLastSave="0" documentId="13_ncr:1_{00A80760-B1B8-453D-A85B-61C393B8AB5B}" xr6:coauthVersionLast="46" xr6:coauthVersionMax="46" xr10:uidLastSave="{00000000-0000-0000-0000-000000000000}"/>
  <bookViews>
    <workbookView xWindow="-110" yWindow="-110" windowWidth="19420" windowHeight="10420" tabRatio="705" activeTab="5" xr2:uid="{00000000-000D-0000-FFFF-FFFF00000000}"/>
  </bookViews>
  <sheets>
    <sheet name="VRP Solver Console" sheetId="231" r:id="rId1"/>
    <sheet name="1.Locations" sheetId="232" r:id="rId2"/>
    <sheet name="2.Distances" sheetId="238" r:id="rId3"/>
    <sheet name="3.Vehicles" sheetId="246" r:id="rId4"/>
    <sheet name="4.Solution" sheetId="247" r:id="rId5"/>
    <sheet name="5.Visualization" sheetId="248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W3" i="247" l="1"/>
  <c r="BY5" i="247"/>
  <c r="BR5" i="247"/>
  <c r="BF3" i="247"/>
  <c r="BH5" i="247"/>
  <c r="BA5" i="247"/>
  <c r="AO3" i="247"/>
  <c r="AQ5" i="247"/>
  <c r="AJ5" i="247"/>
  <c r="X3" i="247"/>
  <c r="Z5" i="247"/>
  <c r="S5" i="247"/>
  <c r="G3" i="247"/>
  <c r="I5" i="247"/>
  <c r="B5" i="247"/>
  <c r="L2" i="246"/>
  <c r="D23" i="231"/>
  <c r="BS14" i="247"/>
  <c r="BS12" i="247"/>
  <c r="BS10" i="247"/>
  <c r="BS8" i="247"/>
  <c r="BS6" i="247"/>
  <c r="AK15" i="247"/>
  <c r="AK13" i="247"/>
  <c r="BS5" i="247"/>
  <c r="BS15" i="247"/>
  <c r="BS11" i="247"/>
  <c r="BS7" i="247"/>
  <c r="BB15" i="247"/>
  <c r="BB10" i="247"/>
  <c r="BB7" i="247"/>
  <c r="AK12" i="247"/>
  <c r="AK10" i="247"/>
  <c r="AK8" i="247"/>
  <c r="AK6" i="247"/>
  <c r="C15" i="247"/>
  <c r="BB13" i="247"/>
  <c r="BB8" i="247"/>
  <c r="AK5" i="247"/>
  <c r="T14" i="247"/>
  <c r="BS13" i="247"/>
  <c r="BS9" i="247"/>
  <c r="BB14" i="247"/>
  <c r="BB11" i="247"/>
  <c r="BB6" i="247"/>
  <c r="BB5" i="247"/>
  <c r="AK14" i="247"/>
  <c r="AK9" i="247"/>
  <c r="T13" i="247"/>
  <c r="T8" i="247"/>
  <c r="C13" i="247"/>
  <c r="C11" i="247"/>
  <c r="C9" i="247"/>
  <c r="C7" i="247"/>
  <c r="T5" i="247"/>
  <c r="T12" i="247"/>
  <c r="C10" i="247"/>
  <c r="C8" i="247"/>
  <c r="C6" i="247"/>
  <c r="T11" i="247"/>
  <c r="T6" i="247"/>
  <c r="T9" i="247"/>
  <c r="C14" i="247"/>
  <c r="C12" i="247"/>
  <c r="BB12" i="247"/>
  <c r="BB9" i="247"/>
  <c r="AK11" i="247"/>
  <c r="AK7" i="247"/>
  <c r="T15" i="247"/>
  <c r="T10" i="247"/>
  <c r="T7" i="247"/>
  <c r="C5" i="247"/>
  <c r="E5" i="247" l="1"/>
  <c r="D5" i="247"/>
  <c r="AE7" i="247"/>
  <c r="AC7" i="247"/>
  <c r="AF7" i="247"/>
  <c r="U7" i="247"/>
  <c r="V7" i="247"/>
  <c r="AD7" i="247"/>
  <c r="AG10" i="247"/>
  <c r="AC10" i="247"/>
  <c r="Y10" i="247"/>
  <c r="Z10" i="247" s="1"/>
  <c r="AA10" i="247" s="1"/>
  <c r="U10" i="247"/>
  <c r="AD10" i="247"/>
  <c r="X10" i="247"/>
  <c r="AB10" i="247"/>
  <c r="W10" i="247"/>
  <c r="V10" i="247"/>
  <c r="AF10" i="247"/>
  <c r="AE10" i="247"/>
  <c r="AE15" i="247"/>
  <c r="W15" i="247"/>
  <c r="AD15" i="247"/>
  <c r="V15" i="247"/>
  <c r="AG15" i="247"/>
  <c r="Y15" i="247"/>
  <c r="Z15" i="247" s="1"/>
  <c r="AA15" i="247" s="1"/>
  <c r="AF15" i="247"/>
  <c r="X15" i="247"/>
  <c r="AC15" i="247"/>
  <c r="U15" i="247"/>
  <c r="AB15" i="247"/>
  <c r="AU7" i="247"/>
  <c r="AM7" i="247"/>
  <c r="AT7" i="247"/>
  <c r="AL7" i="247"/>
  <c r="AU11" i="247"/>
  <c r="AM11" i="247"/>
  <c r="AX11" i="247"/>
  <c r="AT11" i="247"/>
  <c r="AP11" i="247"/>
  <c r="AQ11" i="247" s="1"/>
  <c r="AR11" i="247" s="1"/>
  <c r="AL11" i="247"/>
  <c r="AW11" i="247"/>
  <c r="AS11" i="247"/>
  <c r="AO11" i="247"/>
  <c r="AN11" i="247"/>
  <c r="AV11" i="247"/>
  <c r="BM9" i="247"/>
  <c r="BE9" i="247"/>
  <c r="BK9" i="247"/>
  <c r="BF9" i="247"/>
  <c r="BO9" i="247"/>
  <c r="BJ9" i="247"/>
  <c r="BD9" i="247"/>
  <c r="BN9" i="247"/>
  <c r="BC9" i="247"/>
  <c r="BL9" i="247"/>
  <c r="BG9" i="247"/>
  <c r="BH9" i="247" s="1"/>
  <c r="BI9" i="247" s="1"/>
  <c r="BO12" i="247"/>
  <c r="BK12" i="247"/>
  <c r="BG12" i="247"/>
  <c r="BH12" i="247" s="1"/>
  <c r="BI12" i="247" s="1"/>
  <c r="BC12" i="247"/>
  <c r="BL12" i="247"/>
  <c r="BF12" i="247"/>
  <c r="BJ12" i="247"/>
  <c r="BE12" i="247"/>
  <c r="BN12" i="247"/>
  <c r="BD12" i="247"/>
  <c r="BM12" i="247"/>
  <c r="M12" i="247"/>
  <c r="E12" i="247"/>
  <c r="P12" i="247"/>
  <c r="L12" i="247"/>
  <c r="H12" i="247"/>
  <c r="I12" i="247" s="1"/>
  <c r="J12" i="247" s="1"/>
  <c r="D12" i="247"/>
  <c r="K12" i="247"/>
  <c r="G12" i="247"/>
  <c r="O12" i="247"/>
  <c r="F12" i="247"/>
  <c r="N12" i="247"/>
  <c r="M14" i="247"/>
  <c r="E14" i="247"/>
  <c r="P14" i="247"/>
  <c r="K14" i="247"/>
  <c r="F14" i="247"/>
  <c r="O14" i="247"/>
  <c r="D14" i="247"/>
  <c r="N14" i="247"/>
  <c r="H14" i="247"/>
  <c r="I14" i="247" s="1"/>
  <c r="J14" i="247" s="1"/>
  <c r="L14" i="247"/>
  <c r="G14" i="247"/>
  <c r="AE9" i="247"/>
  <c r="W9" i="247"/>
  <c r="AG9" i="247"/>
  <c r="AB9" i="247"/>
  <c r="V9" i="247"/>
  <c r="U9" i="247"/>
  <c r="Y9" i="247"/>
  <c r="Z9" i="247" s="1"/>
  <c r="AA9" i="247" s="1"/>
  <c r="AF9" i="247"/>
  <c r="AD9" i="247"/>
  <c r="X9" i="247"/>
  <c r="AC9" i="247"/>
  <c r="AC6" i="247"/>
  <c r="AE6" i="247" s="1"/>
  <c r="Y6" i="247"/>
  <c r="Z6" i="247" s="1"/>
  <c r="AA6" i="247" s="1"/>
  <c r="U6" i="247"/>
  <c r="AF6" i="247"/>
  <c r="V6" i="247"/>
  <c r="X6" i="247"/>
  <c r="X7" i="247" s="1"/>
  <c r="AD6" i="247"/>
  <c r="W6" i="247"/>
  <c r="W7" i="247" s="1"/>
  <c r="AB6" i="247"/>
  <c r="AB7" i="247" s="1"/>
  <c r="AE11" i="247"/>
  <c r="W11" i="247"/>
  <c r="AF11" i="247"/>
  <c r="U11" i="247"/>
  <c r="AD11" i="247"/>
  <c r="Y11" i="247"/>
  <c r="Z11" i="247" s="1"/>
  <c r="AA11" i="247" s="1"/>
  <c r="AC11" i="247"/>
  <c r="X11" i="247"/>
  <c r="AG11" i="247"/>
  <c r="V11" i="247"/>
  <c r="AB11" i="247"/>
  <c r="M6" i="247"/>
  <c r="E6" i="247"/>
  <c r="H6" i="247"/>
  <c r="I6" i="247" s="1"/>
  <c r="J6" i="247" s="1"/>
  <c r="K6" i="247"/>
  <c r="K7" i="247" s="1"/>
  <c r="L6" i="247"/>
  <c r="N6" i="247" s="1"/>
  <c r="D6" i="247"/>
  <c r="G6" i="247"/>
  <c r="G7" i="247" s="1"/>
  <c r="O6" i="247"/>
  <c r="F6" i="247"/>
  <c r="F7" i="247" s="1"/>
  <c r="M8" i="247"/>
  <c r="E8" i="247"/>
  <c r="H8" i="247"/>
  <c r="I8" i="247" s="1"/>
  <c r="J8" i="247" s="1"/>
  <c r="O8" i="247"/>
  <c r="G8" i="247"/>
  <c r="P8" i="247"/>
  <c r="L8" i="247"/>
  <c r="D8" i="247"/>
  <c r="K8" i="247"/>
  <c r="N8" i="247"/>
  <c r="F8" i="247"/>
  <c r="M10" i="247"/>
  <c r="E10" i="247"/>
  <c r="P10" i="247"/>
  <c r="H10" i="247"/>
  <c r="I10" i="247" s="1"/>
  <c r="J10" i="247" s="1"/>
  <c r="O10" i="247"/>
  <c r="K10" i="247"/>
  <c r="L10" i="247"/>
  <c r="D10" i="247"/>
  <c r="G10" i="247"/>
  <c r="N10" i="247"/>
  <c r="F10" i="247"/>
  <c r="AG12" i="247"/>
  <c r="AC12" i="247"/>
  <c r="Y12" i="247"/>
  <c r="Z12" i="247" s="1"/>
  <c r="AA12" i="247" s="1"/>
  <c r="U12" i="247"/>
  <c r="AB12" i="247"/>
  <c r="W12" i="247"/>
  <c r="AF12" i="247"/>
  <c r="V12" i="247"/>
  <c r="AE12" i="247"/>
  <c r="AD12" i="247"/>
  <c r="X12" i="247"/>
  <c r="V5" i="247"/>
  <c r="U5" i="247"/>
  <c r="O7" i="247"/>
  <c r="N7" i="247"/>
  <c r="M7" i="247"/>
  <c r="E7" i="247"/>
  <c r="L7" i="247"/>
  <c r="D7" i="247"/>
  <c r="O9" i="247"/>
  <c r="K9" i="247"/>
  <c r="G9" i="247"/>
  <c r="N9" i="247"/>
  <c r="F9" i="247"/>
  <c r="M9" i="247"/>
  <c r="E9" i="247"/>
  <c r="P9" i="247"/>
  <c r="L9" i="247"/>
  <c r="H9" i="247"/>
  <c r="I9" i="247" s="1"/>
  <c r="J9" i="247" s="1"/>
  <c r="D9" i="247"/>
  <c r="O11" i="247"/>
  <c r="K11" i="247"/>
  <c r="G11" i="247"/>
  <c r="N11" i="247"/>
  <c r="M11" i="247"/>
  <c r="F11" i="247"/>
  <c r="E11" i="247"/>
  <c r="D11" i="247"/>
  <c r="P11" i="247"/>
  <c r="L11" i="247"/>
  <c r="H11" i="247"/>
  <c r="I11" i="247" s="1"/>
  <c r="J11" i="247" s="1"/>
  <c r="O13" i="247"/>
  <c r="K13" i="247"/>
  <c r="G13" i="247"/>
  <c r="F13" i="247"/>
  <c r="M13" i="247"/>
  <c r="E13" i="247"/>
  <c r="N13" i="247"/>
  <c r="H13" i="247"/>
  <c r="I13" i="247" s="1"/>
  <c r="J13" i="247" s="1"/>
  <c r="D13" i="247"/>
  <c r="P13" i="247"/>
  <c r="L13" i="247"/>
  <c r="AG8" i="247"/>
  <c r="AC8" i="247"/>
  <c r="Y8" i="247"/>
  <c r="Z8" i="247" s="1"/>
  <c r="AA8" i="247" s="1"/>
  <c r="U8" i="247"/>
  <c r="AE8" i="247"/>
  <c r="X8" i="247"/>
  <c r="AB8" i="247"/>
  <c r="AD8" i="247"/>
  <c r="W8" i="247"/>
  <c r="AF8" i="247"/>
  <c r="V8" i="247"/>
  <c r="AE13" i="247"/>
  <c r="W13" i="247"/>
  <c r="AD13" i="247"/>
  <c r="Y13" i="247"/>
  <c r="Z13" i="247" s="1"/>
  <c r="AA13" i="247" s="1"/>
  <c r="AC13" i="247"/>
  <c r="X13" i="247"/>
  <c r="AB13" i="247"/>
  <c r="AG13" i="247"/>
  <c r="V13" i="247"/>
  <c r="AF13" i="247"/>
  <c r="U13" i="247"/>
  <c r="AU9" i="247"/>
  <c r="AM9" i="247"/>
  <c r="AT9" i="247"/>
  <c r="AL9" i="247"/>
  <c r="AW9" i="247"/>
  <c r="AV9" i="247"/>
  <c r="AU14" i="247"/>
  <c r="AM14" i="247"/>
  <c r="AT14" i="247"/>
  <c r="AO14" i="247"/>
  <c r="AX14" i="247"/>
  <c r="AS14" i="247"/>
  <c r="AN14" i="247"/>
  <c r="AW14" i="247"/>
  <c r="AL14" i="247"/>
  <c r="AV14" i="247"/>
  <c r="AP14" i="247"/>
  <c r="AQ14" i="247" s="1"/>
  <c r="AR14" i="247" s="1"/>
  <c r="BD5" i="247"/>
  <c r="BC5" i="247"/>
  <c r="BK6" i="247"/>
  <c r="BM6" i="247" s="1"/>
  <c r="BG6" i="247"/>
  <c r="BH6" i="247" s="1"/>
  <c r="BC6" i="247"/>
  <c r="BJ6" i="247"/>
  <c r="BJ7" i="247" s="1"/>
  <c r="BE6" i="247"/>
  <c r="BN6" i="247"/>
  <c r="BD6" i="247"/>
  <c r="BL6" i="247"/>
  <c r="BF6" i="247"/>
  <c r="BF7" i="247" s="1"/>
  <c r="BM11" i="247"/>
  <c r="BE11" i="247"/>
  <c r="BO11" i="247"/>
  <c r="BJ11" i="247"/>
  <c r="BD11" i="247"/>
  <c r="BN11" i="247"/>
  <c r="BC11" i="247"/>
  <c r="BL11" i="247"/>
  <c r="BG11" i="247"/>
  <c r="BH11" i="247" s="1"/>
  <c r="BI11" i="247" s="1"/>
  <c r="BF11" i="247"/>
  <c r="BK11" i="247"/>
  <c r="BO14" i="247"/>
  <c r="BK14" i="247"/>
  <c r="BG14" i="247"/>
  <c r="BH14" i="247" s="1"/>
  <c r="BI14" i="247" s="1"/>
  <c r="BC14" i="247"/>
  <c r="BJ14" i="247"/>
  <c r="BE14" i="247"/>
  <c r="BN14" i="247"/>
  <c r="BD14" i="247"/>
  <c r="BM14" i="247"/>
  <c r="BF14" i="247"/>
  <c r="BL14" i="247"/>
  <c r="CC9" i="247"/>
  <c r="BU9" i="247"/>
  <c r="CB9" i="247"/>
  <c r="BT9" i="247"/>
  <c r="CE9" i="247"/>
  <c r="CD9" i="247"/>
  <c r="CC13" i="247"/>
  <c r="BU13" i="247"/>
  <c r="CF13" i="247"/>
  <c r="CB13" i="247"/>
  <c r="BX13" i="247"/>
  <c r="BY13" i="247" s="1"/>
  <c r="BZ13" i="247" s="1"/>
  <c r="BT13" i="247"/>
  <c r="CE13" i="247"/>
  <c r="BW13" i="247"/>
  <c r="CD13" i="247"/>
  <c r="BV13" i="247"/>
  <c r="CA13" i="247"/>
  <c r="AG14" i="247"/>
  <c r="AC14" i="247"/>
  <c r="Y14" i="247"/>
  <c r="Z14" i="247" s="1"/>
  <c r="AA14" i="247" s="1"/>
  <c r="U14" i="247"/>
  <c r="AF14" i="247"/>
  <c r="AB14" i="247"/>
  <c r="X14" i="247"/>
  <c r="AE14" i="247"/>
  <c r="W14" i="247"/>
  <c r="AD14" i="247"/>
  <c r="V14" i="247"/>
  <c r="AL5" i="247"/>
  <c r="AM5" i="247"/>
  <c r="BO8" i="247"/>
  <c r="BK8" i="247"/>
  <c r="BG8" i="247"/>
  <c r="BH8" i="247" s="1"/>
  <c r="BI8" i="247" s="1"/>
  <c r="BC8" i="247"/>
  <c r="BN8" i="247"/>
  <c r="BD8" i="247"/>
  <c r="BM8" i="247"/>
  <c r="BL8" i="247"/>
  <c r="BF8" i="247"/>
  <c r="BE8" i="247"/>
  <c r="BJ8" i="247"/>
  <c r="BM13" i="247"/>
  <c r="BE13" i="247"/>
  <c r="BN13" i="247"/>
  <c r="BC13" i="247"/>
  <c r="BL13" i="247"/>
  <c r="BG13" i="247"/>
  <c r="BH13" i="247" s="1"/>
  <c r="BI13" i="247" s="1"/>
  <c r="BK13" i="247"/>
  <c r="BF13" i="247"/>
  <c r="BO13" i="247"/>
  <c r="BJ13" i="247"/>
  <c r="BD13" i="247"/>
  <c r="O15" i="247"/>
  <c r="K15" i="247"/>
  <c r="G15" i="247"/>
  <c r="M15" i="247"/>
  <c r="H15" i="247"/>
  <c r="I15" i="247" s="1"/>
  <c r="J15" i="247" s="1"/>
  <c r="F15" i="247"/>
  <c r="L15" i="247"/>
  <c r="P15" i="247"/>
  <c r="E15" i="247"/>
  <c r="N15" i="247"/>
  <c r="D15" i="247"/>
  <c r="AS6" i="247"/>
  <c r="AS7" i="247" s="1"/>
  <c r="AS8" i="247" s="1"/>
  <c r="AS9" i="247" s="1"/>
  <c r="AO6" i="247"/>
  <c r="AO7" i="247" s="1"/>
  <c r="AO8" i="247" s="1"/>
  <c r="AO9" i="247" s="1"/>
  <c r="AN6" i="247"/>
  <c r="AN7" i="247" s="1"/>
  <c r="AN8" i="247" s="1"/>
  <c r="AN9" i="247" s="1"/>
  <c r="AU6" i="247"/>
  <c r="AM6" i="247"/>
  <c r="AT6" i="247"/>
  <c r="AV6" i="247" s="1"/>
  <c r="AL6" i="247"/>
  <c r="AP6" i="247"/>
  <c r="AQ6" i="247" s="1"/>
  <c r="AR6" i="247" s="1"/>
  <c r="AW8" i="247"/>
  <c r="AU8" i="247"/>
  <c r="AL8" i="247"/>
  <c r="AM8" i="247"/>
  <c r="AT8" i="247"/>
  <c r="AW10" i="247"/>
  <c r="AS10" i="247"/>
  <c r="AO10" i="247"/>
  <c r="AV10" i="247"/>
  <c r="AN10" i="247"/>
  <c r="AU10" i="247"/>
  <c r="AM10" i="247"/>
  <c r="AT10" i="247"/>
  <c r="AL10" i="247"/>
  <c r="AX10" i="247"/>
  <c r="AP10" i="247"/>
  <c r="AQ10" i="247" s="1"/>
  <c r="AR10" i="247" s="1"/>
  <c r="AU12" i="247"/>
  <c r="AM12" i="247"/>
  <c r="AV12" i="247"/>
  <c r="AP12" i="247"/>
  <c r="AQ12" i="247" s="1"/>
  <c r="AR12" i="247" s="1"/>
  <c r="AT12" i="247"/>
  <c r="AO12" i="247"/>
  <c r="AX12" i="247"/>
  <c r="AS12" i="247"/>
  <c r="AN12" i="247"/>
  <c r="AL12" i="247"/>
  <c r="AW12" i="247"/>
  <c r="BM7" i="247"/>
  <c r="BE7" i="247"/>
  <c r="BL7" i="247"/>
  <c r="BK7" i="247"/>
  <c r="BD7" i="247"/>
  <c r="BN7" i="247"/>
  <c r="BC7" i="247"/>
  <c r="BO10" i="247"/>
  <c r="BK10" i="247"/>
  <c r="BG10" i="247"/>
  <c r="BH10" i="247" s="1"/>
  <c r="BI10" i="247" s="1"/>
  <c r="BC10" i="247"/>
  <c r="BM10" i="247"/>
  <c r="BL10" i="247"/>
  <c r="BF10" i="247"/>
  <c r="BJ10" i="247"/>
  <c r="BE10" i="247"/>
  <c r="BN10" i="247"/>
  <c r="BD10" i="247"/>
  <c r="BM15" i="247"/>
  <c r="BE15" i="247"/>
  <c r="BL15" i="247"/>
  <c r="BG15" i="247"/>
  <c r="BH15" i="247" s="1"/>
  <c r="BI15" i="247" s="1"/>
  <c r="BK15" i="247"/>
  <c r="BF15" i="247"/>
  <c r="BO15" i="247"/>
  <c r="BJ15" i="247"/>
  <c r="BD15" i="247"/>
  <c r="BN15" i="247"/>
  <c r="BC15" i="247"/>
  <c r="CC7" i="247"/>
  <c r="BU7" i="247"/>
  <c r="CB7" i="247"/>
  <c r="BT7" i="247"/>
  <c r="CC11" i="247"/>
  <c r="BU11" i="247"/>
  <c r="CF11" i="247"/>
  <c r="CB11" i="247"/>
  <c r="BX11" i="247"/>
  <c r="BY11" i="247" s="1"/>
  <c r="BZ11" i="247" s="1"/>
  <c r="BT11" i="247"/>
  <c r="CA11" i="247"/>
  <c r="CE11" i="247"/>
  <c r="BW11" i="247"/>
  <c r="CD11" i="247"/>
  <c r="BV11" i="247"/>
  <c r="CC15" i="247"/>
  <c r="BU15" i="247"/>
  <c r="CF15" i="247"/>
  <c r="CB15" i="247"/>
  <c r="BX15" i="247"/>
  <c r="BY15" i="247" s="1"/>
  <c r="BZ15" i="247" s="1"/>
  <c r="BT15" i="247"/>
  <c r="CE15" i="247"/>
  <c r="CA15" i="247"/>
  <c r="BW15" i="247"/>
  <c r="BV15" i="247"/>
  <c r="CD15" i="247"/>
  <c r="BT5" i="247"/>
  <c r="BU5" i="247"/>
  <c r="AW13" i="247"/>
  <c r="AS13" i="247"/>
  <c r="AO13" i="247"/>
  <c r="AX13" i="247"/>
  <c r="AM13" i="247"/>
  <c r="AV13" i="247"/>
  <c r="AL13" i="247"/>
  <c r="AU13" i="247"/>
  <c r="AP13" i="247"/>
  <c r="AQ13" i="247" s="1"/>
  <c r="AR13" i="247" s="1"/>
  <c r="AT13" i="247"/>
  <c r="AN13" i="247"/>
  <c r="AW15" i="247"/>
  <c r="AS15" i="247"/>
  <c r="AO15" i="247"/>
  <c r="AV15" i="247"/>
  <c r="AL15" i="247"/>
  <c r="AU15" i="247"/>
  <c r="AP15" i="247"/>
  <c r="AQ15" i="247" s="1"/>
  <c r="AR15" i="247" s="1"/>
  <c r="AT15" i="247"/>
  <c r="AN15" i="247"/>
  <c r="AM15" i="247"/>
  <c r="AX15" i="247"/>
  <c r="CA6" i="247"/>
  <c r="CA7" i="247" s="1"/>
  <c r="CA8" i="247" s="1"/>
  <c r="CA9" i="247" s="1"/>
  <c r="BW6" i="247"/>
  <c r="BW7" i="247" s="1"/>
  <c r="BW8" i="247" s="1"/>
  <c r="BW9" i="247" s="1"/>
  <c r="BV6" i="247"/>
  <c r="BV7" i="247" s="1"/>
  <c r="BV8" i="247" s="1"/>
  <c r="BV9" i="247" s="1"/>
  <c r="BX6" i="247"/>
  <c r="BY6" i="247" s="1"/>
  <c r="BZ6" i="247" s="1"/>
  <c r="CC6" i="247"/>
  <c r="BU6" i="247"/>
  <c r="BT6" i="247"/>
  <c r="CB6" i="247"/>
  <c r="CD6" i="247" s="1"/>
  <c r="CE8" i="247"/>
  <c r="CC8" i="247"/>
  <c r="BU8" i="247"/>
  <c r="CB8" i="247"/>
  <c r="BT8" i="247"/>
  <c r="CE10" i="247"/>
  <c r="CA10" i="247"/>
  <c r="BW10" i="247"/>
  <c r="CD10" i="247"/>
  <c r="BV10" i="247"/>
  <c r="CF10" i="247"/>
  <c r="BX10" i="247"/>
  <c r="BY10" i="247" s="1"/>
  <c r="BZ10" i="247" s="1"/>
  <c r="CC10" i="247"/>
  <c r="BU10" i="247"/>
  <c r="CB10" i="247"/>
  <c r="BT10" i="247"/>
  <c r="CE12" i="247"/>
  <c r="CA12" i="247"/>
  <c r="BW12" i="247"/>
  <c r="CD12" i="247"/>
  <c r="BV12" i="247"/>
  <c r="CC12" i="247"/>
  <c r="BU12" i="247"/>
  <c r="CB12" i="247"/>
  <c r="BT12" i="247"/>
  <c r="CF12" i="247"/>
  <c r="BX12" i="247"/>
  <c r="BY12" i="247" s="1"/>
  <c r="BZ12" i="247" s="1"/>
  <c r="CE14" i="247"/>
  <c r="CA14" i="247"/>
  <c r="BW14" i="247"/>
  <c r="CD14" i="247"/>
  <c r="BV14" i="247"/>
  <c r="CF14" i="247"/>
  <c r="BX14" i="247"/>
  <c r="BY14" i="247" s="1"/>
  <c r="BZ14" i="247" s="1"/>
  <c r="CC14" i="247"/>
  <c r="BU14" i="247"/>
  <c r="CB14" i="247"/>
  <c r="BT14" i="247"/>
  <c r="I3" i="247"/>
  <c r="BH3" i="247"/>
  <c r="AQ3" i="247"/>
  <c r="Z3" i="247"/>
  <c r="BY3" i="247"/>
  <c r="AF5" i="247" l="1"/>
  <c r="AG5" i="247" s="1"/>
  <c r="CE7" i="247"/>
  <c r="CE6" i="247" s="1"/>
  <c r="CE5" i="247" s="1"/>
  <c r="CF5" i="247" s="1"/>
  <c r="AG7" i="247"/>
  <c r="BO6" i="247"/>
  <c r="P7" i="247"/>
  <c r="BO7" i="247"/>
  <c r="CF9" i="247"/>
  <c r="BN5" i="247"/>
  <c r="BO5" i="247" s="1"/>
  <c r="AX9" i="247"/>
  <c r="AG6" i="247"/>
  <c r="AW7" i="247"/>
  <c r="AW6" i="247" s="1"/>
  <c r="AW5" i="247" s="1"/>
  <c r="AX5" i="247" s="1"/>
  <c r="H7" i="247"/>
  <c r="I7" i="247" s="1"/>
  <c r="J7" i="247" s="1"/>
  <c r="O5" i="247"/>
  <c r="P5" i="247" s="1"/>
  <c r="B1" i="247"/>
  <c r="BI6" i="247"/>
  <c r="BG7" i="247"/>
  <c r="BH7" i="247" s="1"/>
  <c r="BI7" i="247" s="1"/>
  <c r="CD7" i="247"/>
  <c r="CF6" i="247"/>
  <c r="AX6" i="247"/>
  <c r="AV7" i="247"/>
  <c r="AP7" i="247"/>
  <c r="AQ7" i="247" s="1"/>
  <c r="Y7" i="247"/>
  <c r="BX7" i="247"/>
  <c r="BY7" i="247" s="1"/>
  <c r="P6" i="247"/>
  <c r="CF7" i="247" l="1"/>
  <c r="AX7" i="247"/>
  <c r="BZ7" i="247"/>
  <c r="BX8" i="247"/>
  <c r="BY8" i="247" s="1"/>
  <c r="Z7" i="247"/>
  <c r="AA7" i="247"/>
  <c r="AV8" i="247"/>
  <c r="AX8" i="247" s="1"/>
  <c r="AR7" i="247"/>
  <c r="AP8" i="247"/>
  <c r="AQ8" i="247" s="1"/>
  <c r="CD8" i="247"/>
  <c r="CF8" i="247" s="1"/>
  <c r="AR8" i="247" l="1"/>
  <c r="AP9" i="247"/>
  <c r="AQ9" i="247" s="1"/>
  <c r="AR9" i="247" s="1"/>
  <c r="BZ8" i="247"/>
  <c r="BX9" i="247"/>
  <c r="BY9" i="247" s="1"/>
  <c r="BZ9" i="247" s="1"/>
</calcChain>
</file>

<file path=xl/sharedStrings.xml><?xml version="1.0" encoding="utf-8"?>
<sst xmlns="http://schemas.openxmlformats.org/spreadsheetml/2006/main" count="424" uniqueCount="118">
  <si>
    <t>Sequence</t>
  </si>
  <si>
    <t>Parameter</t>
  </si>
  <si>
    <t>Value</t>
  </si>
  <si>
    <t>Remarks</t>
  </si>
  <si>
    <t>0.Optional - GIS License</t>
  </si>
  <si>
    <t>Bing Maps Key</t>
  </si>
  <si>
    <t>1.Locations</t>
  </si>
  <si>
    <t>Number of customers</t>
  </si>
  <si>
    <t>2.Distances</t>
  </si>
  <si>
    <t>Bing Maps route type</t>
  </si>
  <si>
    <t>Fastest</t>
  </si>
  <si>
    <t>Average vehicle speed</t>
  </si>
  <si>
    <t>3.Vehicles</t>
  </si>
  <si>
    <t>Number of vehicle types</t>
  </si>
  <si>
    <t>4.Solution</t>
  </si>
  <si>
    <t>Yes</t>
  </si>
  <si>
    <t>Time window type</t>
  </si>
  <si>
    <t>Hard</t>
  </si>
  <si>
    <t>5.Optional - Visualization</t>
  </si>
  <si>
    <t>Visualization background</t>
  </si>
  <si>
    <t>Location labels</t>
  </si>
  <si>
    <t>6.Solver</t>
  </si>
  <si>
    <t>Warm start?</t>
  </si>
  <si>
    <t>CPU time limit (seconds)</t>
  </si>
  <si>
    <t>[5,200]</t>
  </si>
  <si>
    <t>Number of depots</t>
  </si>
  <si>
    <t>[1,20]</t>
  </si>
  <si>
    <t>No</t>
  </si>
  <si>
    <t>Backhauls?</t>
  </si>
  <si>
    <t>Show progress on the status bar?</t>
  </si>
  <si>
    <t>If activated, delivery locations must be visited before pickup locations</t>
  </si>
  <si>
    <t>Bing Maps</t>
  </si>
  <si>
    <t>Bing Maps driving distances (km)</t>
  </si>
  <si>
    <t>You can get a free trial key at https://www.bingmapsportal.com/</t>
  </si>
  <si>
    <t>Recommendation: Use 'postcode, country' format for addresses</t>
  </si>
  <si>
    <t>Recommendation: Use 'Fastest'</t>
  </si>
  <si>
    <t>Do the vehicles return to their depot(s)?</t>
  </si>
  <si>
    <t>Yes - only once at the end</t>
  </si>
  <si>
    <t>Distance computation method</t>
  </si>
  <si>
    <t>Duration computation method</t>
  </si>
  <si>
    <t>Bing Maps driving durations</t>
  </si>
  <si>
    <t>Location IDs</t>
  </si>
  <si>
    <t>Location ID</t>
  </si>
  <si>
    <t>Name</t>
  </si>
  <si>
    <t>Address</t>
  </si>
  <si>
    <t>Latitude (y)</t>
  </si>
  <si>
    <t>Longitude (x)</t>
  </si>
  <si>
    <t>Time window start</t>
  </si>
  <si>
    <t>Time window end</t>
  </si>
  <si>
    <t>Must be visited?</t>
  </si>
  <si>
    <t>Service time</t>
  </si>
  <si>
    <t>Pickup amount</t>
  </si>
  <si>
    <t>Delivery amount</t>
  </si>
  <si>
    <t>Profit</t>
  </si>
  <si>
    <t>Depot</t>
  </si>
  <si>
    <t>Starting location</t>
  </si>
  <si>
    <t>Customer 1</t>
  </si>
  <si>
    <t>Must be visited</t>
  </si>
  <si>
    <t>Customer 2</t>
  </si>
  <si>
    <t>Customer 3</t>
  </si>
  <si>
    <t>Customer 4</t>
  </si>
  <si>
    <t>Customer 5</t>
  </si>
  <si>
    <t>Customer 6</t>
  </si>
  <si>
    <t>Customer 7</t>
  </si>
  <si>
    <t>Customer 8</t>
  </si>
  <si>
    <t>Customer 9</t>
  </si>
  <si>
    <t>Hospital Clínic, Carrer del Comte d'Urgell, 08001 Barcelona, España</t>
  </si>
  <si>
    <t>Plaça de Jordi de Sant Jordi, 1, 17001 Gerona, España</t>
  </si>
  <si>
    <t>Av. Catalunya, 54, 43002 Tarragona</t>
  </si>
  <si>
    <t>Plaça del Doctor Robert, 5, 08221 Terrassa, Barcelona</t>
  </si>
  <si>
    <t>Carrer de Soler i March, 6, 08242 Manresa, Barcelona</t>
  </si>
  <si>
    <t>Passeig de l'Onze de Setembre, 10, 25005 Lleida</t>
  </si>
  <si>
    <t>CUAP Casernes, Carrer de Fernando Pessoa, 47, 08030 Barcelona, España</t>
  </si>
  <si>
    <t>Avinguda de la Ràpita, 43, 43870 Amposta, Tarragona</t>
  </si>
  <si>
    <t>Carrer del Dr. Pasteur, 7, 08720 Vilafranca del Penedès, Barcelona</t>
  </si>
  <si>
    <t>Carrèr Doctor Manuel Vidal, 25530 Vielha, Lleida</t>
  </si>
  <si>
    <t>From</t>
  </si>
  <si>
    <t>To</t>
  </si>
  <si>
    <t>Distance</t>
  </si>
  <si>
    <t>Duration</t>
  </si>
  <si>
    <t>Method:</t>
  </si>
  <si>
    <t>AqbQOf6gw_SBysi_txURSuZ1CyJRvhdn_kzqWjiThPDt6bL6QdqOaQRg5bfNyn6A</t>
  </si>
  <si>
    <t>Bing Maps driving distances (km) / Bing Maps driving durations</t>
  </si>
  <si>
    <t>Starting depot</t>
  </si>
  <si>
    <t>Vehicle type</t>
  </si>
  <si>
    <t>Capacity</t>
  </si>
  <si>
    <t>Fixed cost per trip</t>
  </si>
  <si>
    <t>Cost per unit distance</t>
  </si>
  <si>
    <t>Duration multiplier</t>
  </si>
  <si>
    <t>Distance limit</t>
  </si>
  <si>
    <t>Work start time</t>
  </si>
  <si>
    <t>Driving time limit</t>
  </si>
  <si>
    <t>Working time limit</t>
  </si>
  <si>
    <t>Return depot</t>
  </si>
  <si>
    <t>Destination ID</t>
  </si>
  <si>
    <t>Number of vehicles</t>
  </si>
  <si>
    <t>T1</t>
  </si>
  <si>
    <t>Total net profit:</t>
  </si>
  <si>
    <t>Stop count</t>
  </si>
  <si>
    <t>Location name</t>
  </si>
  <si>
    <t>Distance travelled</t>
  </si>
  <si>
    <t>Driving time</t>
  </si>
  <si>
    <t>Arrival time</t>
  </si>
  <si>
    <t>Departure time</t>
  </si>
  <si>
    <t>Working time</t>
  </si>
  <si>
    <t>Profit collected</t>
  </si>
  <si>
    <t>Cumulative pickup</t>
  </si>
  <si>
    <t>Subtractive delivery</t>
  </si>
  <si>
    <t>Load</t>
  </si>
  <si>
    <t>Vehicle:</t>
  </si>
  <si>
    <t>Stops:</t>
  </si>
  <si>
    <t>Net profit:</t>
  </si>
  <si>
    <t>Detected reasons of infeasibility</t>
  </si>
  <si>
    <t>V1</t>
  </si>
  <si>
    <t>V2</t>
  </si>
  <si>
    <t>V3</t>
  </si>
  <si>
    <t>V4</t>
  </si>
  <si>
    <t>V5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</si>
</sst>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hh:mm"/>
    <numFmt numFmtId="166" formatCode="[h]:mm"/>
  </numFmts>
  <fonts count="27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9"/>
      <name val="Calibri"/>
      <family val="2"/>
    </font>
    <font>
      <sz val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8"/>
      <color theme="3"/>
      <name val="Cambria"/>
      <family val="2"/>
      <scheme val="maj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</font>
    <font>
      <sz val="7"/>
      <color rgb="FF333333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indexed="57"/>
        <bgColor indexed="64"/>
      </patternFill>
    </fill>
    <fill>
      <patternFill patternType="solid">
        <fgColor indexed="57" tint="-1.9989623706778162E-2"/>
        <bgColor indexed="64"/>
      </patternFill>
    </fill>
    <fill>
      <patternFill patternType="solid">
        <fgColor indexed="57" tint="1.9989623706778162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 tint="-1.9989623706778162E-2"/>
        <bgColor indexed="64"/>
      </patternFill>
    </fill>
    <fill>
      <patternFill patternType="solid">
        <fgColor indexed="40" tint="1.9989623706778162E-2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/>
      <bottom/>
      <diagonal/>
    </border>
    <border>
      <left/>
      <right style="thin">
        <color indexed="23"/>
      </right>
      <top style="thick">
        <color indexed="9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43">
    <xf numFmtId="0" fontId="0" fillId="0" borderId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6" fillId="27" borderId="0" applyNumberFormat="0" applyBorder="0" applyAlignment="0" applyProtection="0"/>
    <xf numFmtId="0" fontId="7" fillId="28" borderId="3" applyNumberFormat="0" applyAlignment="0" applyProtection="0"/>
    <xf numFmtId="0" fontId="8" fillId="29" borderId="4" applyNumberFormat="0" applyAlignment="0" applyProtection="0"/>
    <xf numFmtId="0" fontId="9" fillId="0" borderId="0" applyNumberFormat="0" applyFill="0" applyBorder="0" applyAlignment="0" applyProtection="0"/>
    <xf numFmtId="0" fontId="10" fillId="30" borderId="0" applyNumberFormat="0" applyBorder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3" fillId="0" borderId="0" applyNumberFormat="0" applyFill="0" applyBorder="0" applyAlignment="0" applyProtection="0"/>
    <xf numFmtId="0" fontId="14" fillId="31" borderId="3" applyNumberFormat="0" applyAlignment="0" applyProtection="0"/>
    <xf numFmtId="0" fontId="15" fillId="0" borderId="8" applyNumberFormat="0" applyFill="0" applyAlignment="0" applyProtection="0"/>
    <xf numFmtId="0" fontId="16" fillId="32" borderId="0" applyNumberFormat="0" applyBorder="0" applyAlignment="0" applyProtection="0"/>
    <xf numFmtId="0" fontId="4" fillId="0" borderId="0"/>
    <xf numFmtId="0" fontId="1" fillId="33" borderId="9" applyNumberFormat="0" applyFont="0" applyAlignment="0" applyProtection="0"/>
    <xf numFmtId="0" fontId="17" fillId="28" borderId="10" applyNumberFormat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0" borderId="0" applyNumberFormat="0" applyFill="0" applyBorder="0" applyAlignment="0" applyProtection="0"/>
  </cellStyleXfs>
  <cellXfs count="69">
    <xf numFmtId="0" fontId="0" fillId="0" borderId="0" xfId="0"/>
    <xf numFmtId="0" fontId="2" fillId="2" borderId="0" xfId="0" applyFont="1" applyFill="1" applyBorder="1"/>
    <xf numFmtId="0" fontId="0" fillId="0" borderId="1" xfId="0" applyBorder="1"/>
    <xf numFmtId="0" fontId="0" fillId="0" borderId="2" xfId="0" applyBorder="1"/>
    <xf numFmtId="0" fontId="21" fillId="0" borderId="1" xfId="0" applyFont="1" applyBorder="1"/>
    <xf numFmtId="0" fontId="21" fillId="0" borderId="2" xfId="0" applyFont="1" applyBorder="1"/>
    <xf numFmtId="0" fontId="23" fillId="0" borderId="0" xfId="0" applyFont="1"/>
    <xf numFmtId="0" fontId="22" fillId="34" borderId="2" xfId="0" applyFont="1" applyFill="1" applyBorder="1"/>
    <xf numFmtId="0" fontId="22" fillId="34" borderId="1" xfId="0" applyFont="1" applyFill="1" applyBorder="1"/>
    <xf numFmtId="0" fontId="21" fillId="0" borderId="0" xfId="0" applyFont="1"/>
    <xf numFmtId="165" fontId="21" fillId="0" borderId="0" xfId="0" applyNumberFormat="1" applyFont="1"/>
    <xf numFmtId="0" fontId="22" fillId="2" borderId="0" xfId="0" applyFont="1" applyFill="1" applyBorder="1"/>
    <xf numFmtId="0" fontId="22" fillId="2" borderId="13" xfId="0" applyFont="1" applyFill="1" applyBorder="1"/>
    <xf numFmtId="0" fontId="22" fillId="2" borderId="1" xfId="0" applyFont="1" applyFill="1" applyBorder="1"/>
    <xf numFmtId="166" fontId="22" fillId="35" borderId="1" xfId="0" applyNumberFormat="1" applyFont="1" applyFill="1" applyBorder="1"/>
    <xf numFmtId="0" fontId="22" fillId="2" borderId="14" xfId="0" applyFont="1" applyFill="1" applyBorder="1"/>
    <xf numFmtId="166" fontId="22" fillId="35" borderId="14" xfId="0" applyNumberFormat="1" applyFont="1" applyFill="1" applyBorder="1"/>
    <xf numFmtId="166" fontId="22" fillId="36" borderId="14" xfId="0" applyNumberFormat="1" applyFont="1" applyFill="1" applyBorder="1"/>
    <xf numFmtId="0" fontId="21" fillId="0" borderId="15" xfId="0" applyFont="1" applyBorder="1"/>
    <xf numFmtId="0" fontId="22" fillId="35" borderId="15" xfId="0" applyFont="1" applyFill="1" applyBorder="1"/>
    <xf numFmtId="0" fontId="22" fillId="36" borderId="16" xfId="0" applyFont="1" applyFill="1" applyBorder="1"/>
    <xf numFmtId="0" fontId="22" fillId="35" borderId="17" xfId="0" applyFont="1" applyFill="1" applyBorder="1"/>
    <xf numFmtId="0" fontId="22" fillId="36" borderId="17" xfId="0" applyFont="1" applyFill="1" applyBorder="1"/>
    <xf numFmtId="0" fontId="22" fillId="36" borderId="18" xfId="0" applyFont="1" applyFill="1" applyBorder="1"/>
    <xf numFmtId="164" fontId="22" fillId="35" borderId="15" xfId="0" applyNumberFormat="1" applyFont="1" applyFill="1" applyBorder="1"/>
    <xf numFmtId="164" fontId="22" fillId="36" borderId="16" xfId="0" applyNumberFormat="1" applyFont="1" applyFill="1" applyBorder="1"/>
    <xf numFmtId="164" fontId="22" fillId="35" borderId="17" xfId="0" applyNumberFormat="1" applyFont="1" applyFill="1" applyBorder="1"/>
    <xf numFmtId="164" fontId="22" fillId="36" borderId="17" xfId="0" applyNumberFormat="1" applyFont="1" applyFill="1" applyBorder="1"/>
    <xf numFmtId="164" fontId="22" fillId="36" borderId="18" xfId="0" applyNumberFormat="1" applyFont="1" applyFill="1" applyBorder="1"/>
    <xf numFmtId="165" fontId="22" fillId="35" borderId="15" xfId="0" applyNumberFormat="1" applyFont="1" applyFill="1" applyBorder="1"/>
    <xf numFmtId="165" fontId="22" fillId="36" borderId="16" xfId="0" applyNumberFormat="1" applyFont="1" applyFill="1" applyBorder="1"/>
    <xf numFmtId="165" fontId="22" fillId="35" borderId="17" xfId="0" applyNumberFormat="1" applyFont="1" applyFill="1" applyBorder="1"/>
    <xf numFmtId="165" fontId="22" fillId="36" borderId="17" xfId="0" applyNumberFormat="1" applyFont="1" applyFill="1" applyBorder="1"/>
    <xf numFmtId="165" fontId="22" fillId="36" borderId="18" xfId="0" applyNumberFormat="1" applyFont="1" applyFill="1" applyBorder="1"/>
    <xf numFmtId="166" fontId="22" fillId="36" borderId="16" xfId="0" applyNumberFormat="1" applyFont="1" applyFill="1" applyBorder="1"/>
    <xf numFmtId="166" fontId="22" fillId="35" borderId="17" xfId="0" applyNumberFormat="1" applyFont="1" applyFill="1" applyBorder="1"/>
    <xf numFmtId="0" fontId="22" fillId="2" borderId="15" xfId="0" applyFont="1" applyFill="1" applyBorder="1"/>
    <xf numFmtId="166" fontId="22" fillId="2" borderId="15" xfId="0" applyNumberFormat="1" applyFont="1" applyFill="1" applyBorder="1"/>
    <xf numFmtId="2" fontId="22" fillId="36" borderId="0" xfId="0" applyNumberFormat="1" applyFont="1" applyFill="1" applyBorder="1"/>
    <xf numFmtId="166" fontId="22" fillId="36" borderId="0" xfId="0" applyNumberFormat="1" applyFont="1" applyFill="1" applyBorder="1"/>
    <xf numFmtId="2" fontId="22" fillId="35" borderId="1" xfId="0" applyNumberFormat="1" applyFont="1" applyFill="1" applyBorder="1"/>
    <xf numFmtId="2" fontId="22" fillId="35" borderId="14" xfId="0" applyNumberFormat="1" applyFont="1" applyFill="1" applyBorder="1"/>
    <xf numFmtId="2" fontId="22" fillId="36" borderId="14" xfId="0" applyNumberFormat="1" applyFont="1" applyFill="1" applyBorder="1"/>
    <xf numFmtId="0" fontId="24" fillId="0" borderId="0" xfId="0" applyFont="1"/>
    <xf numFmtId="0" fontId="25" fillId="37" borderId="0" xfId="0" applyFont="1" applyFill="1" applyBorder="1"/>
    <xf numFmtId="0" fontId="25" fillId="37" borderId="1" xfId="0" applyFont="1" applyFill="1" applyBorder="1"/>
    <xf numFmtId="0" fontId="25" fillId="37" borderId="14" xfId="0" applyFont="1" applyFill="1" applyBorder="1"/>
    <xf numFmtId="2" fontId="25" fillId="37" borderId="0" xfId="0" applyNumberFormat="1" applyFont="1" applyFill="1" applyBorder="1"/>
    <xf numFmtId="166" fontId="25" fillId="37" borderId="0" xfId="0" applyNumberFormat="1" applyFont="1" applyFill="1" applyBorder="1"/>
    <xf numFmtId="165" fontId="25" fillId="37" borderId="0" xfId="0" applyNumberFormat="1" applyFont="1" applyFill="1" applyBorder="1"/>
    <xf numFmtId="2" fontId="25" fillId="37" borderId="1" xfId="0" applyNumberFormat="1" applyFont="1" applyFill="1" applyBorder="1"/>
    <xf numFmtId="166" fontId="25" fillId="37" borderId="1" xfId="0" applyNumberFormat="1" applyFont="1" applyFill="1" applyBorder="1"/>
    <xf numFmtId="165" fontId="25" fillId="37" borderId="1" xfId="0" applyNumberFormat="1" applyFont="1" applyFill="1" applyBorder="1"/>
    <xf numFmtId="0" fontId="25" fillId="38" borderId="14" xfId="0" applyFont="1" applyFill="1" applyBorder="1"/>
    <xf numFmtId="2" fontId="25" fillId="37" borderId="14" xfId="0" applyNumberFormat="1" applyFont="1" applyFill="1" applyBorder="1"/>
    <xf numFmtId="166" fontId="25" fillId="37" borderId="14" xfId="0" applyNumberFormat="1" applyFont="1" applyFill="1" applyBorder="1"/>
    <xf numFmtId="165" fontId="25" fillId="37" borderId="14" xfId="0" applyNumberFormat="1" applyFont="1" applyFill="1" applyBorder="1"/>
    <xf numFmtId="0" fontId="25" fillId="39" borderId="1" xfId="0" applyFont="1" applyFill="1" applyBorder="1"/>
    <xf numFmtId="0" fontId="25" fillId="39" borderId="14" xfId="0" applyFont="1" applyFill="1" applyBorder="1"/>
    <xf numFmtId="2" fontId="26" fillId="37" borderId="0" xfId="0" applyNumberFormat="1" applyFont="1" applyFill="1"/>
    <xf numFmtId="0" fontId="21" fillId="37" borderId="0" xfId="0" applyFont="1" applyFill="1"/>
    <xf numFmtId="2" fontId="21" fillId="37" borderId="0" xfId="0" applyNumberFormat="1" applyFont="1" applyFill="1"/>
    <xf numFmtId="0" fontId="22" fillId="34" borderId="12" xfId="0" applyFont="1" applyFill="1" applyBorder="1"/>
    <xf numFmtId="2" fontId="22" fillId="34" borderId="12" xfId="0" applyNumberFormat="1" applyFont="1" applyFill="1" applyBorder="1"/>
    <xf numFmtId="165" fontId="22" fillId="34" borderId="12" xfId="0" applyNumberFormat="1" applyFont="1" applyFill="1" applyBorder="1"/>
    <xf numFmtId="166" fontId="22" fillId="34" borderId="12" xfId="0" applyNumberFormat="1" applyFont="1" applyFill="1" applyBorder="1"/>
    <xf numFmtId="0" fontId="22" fillId="2" borderId="12" xfId="0" applyFont="1" applyFill="1" applyBorder="1"/>
    <xf numFmtId="0" fontId="25" fillId="37" borderId="12" xfId="0" applyFont="1" applyFill="1" applyBorder="1"/>
    <xf numFmtId="0" fontId="21" fillId="0" borderId="0" xfId="0" applyFont="1" applyFill="1"/>
  </cellXfs>
  <cellStyles count="43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heck Cell 2" xfId="27" xr:uid="{00000000-0005-0000-0000-00001A000000}"/>
    <cellStyle name="Explanatory Text 2" xfId="28" xr:uid="{00000000-0005-0000-0000-00001B000000}"/>
    <cellStyle name="Good 2" xfId="29" xr:uid="{00000000-0005-0000-0000-00001C000000}"/>
    <cellStyle name="Heading 1 2" xfId="30" xr:uid="{00000000-0005-0000-0000-00001D000000}"/>
    <cellStyle name="Heading 2 2" xfId="31" xr:uid="{00000000-0005-0000-0000-00001E000000}"/>
    <cellStyle name="Heading 3 2" xfId="32" xr:uid="{00000000-0005-0000-0000-00001F000000}"/>
    <cellStyle name="Heading 4 2" xfId="33" xr:uid="{00000000-0005-0000-0000-000020000000}"/>
    <cellStyle name="Input 2" xfId="34" xr:uid="{00000000-0005-0000-0000-000021000000}"/>
    <cellStyle name="Linked Cell 2" xfId="35" xr:uid="{00000000-0005-0000-0000-000022000000}"/>
    <cellStyle name="Neutral 2" xfId="36" xr:uid="{00000000-0005-0000-0000-000023000000}"/>
    <cellStyle name="Normal" xfId="0" builtinId="0"/>
    <cellStyle name="Normal 2" xfId="37" xr:uid="{00000000-0005-0000-0000-000025000000}"/>
    <cellStyle name="Note 2" xfId="38" xr:uid="{00000000-0005-0000-0000-000026000000}"/>
    <cellStyle name="Output 2" xfId="39" xr:uid="{00000000-0005-0000-0000-000027000000}"/>
    <cellStyle name="Título" xfId="40" builtinId="15" customBuiltin="1"/>
    <cellStyle name="Total 2" xfId="41" xr:uid="{00000000-0005-0000-0000-000029000000}"/>
    <cellStyle name="Warning Text 2" xfId="42" xr:uid="{00000000-0005-0000-0000-00002A000000}"/>
  </cellStyles>
  <dxfs count="281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search/local/ws/rest/v1'">
  <Schema ID="Schema1" Namespace="http://schemas.microsoft.com/search/local/ws/rest/v1">
    <xsd:schema xmlns:xsd="http://www.w3.org/2001/XMLSchema" xmlns:ns0="http://schemas.microsoft.com/search/local/ws/rest/v1" xmlns="" targetNamespace="http://schemas.microsoft.com/search/local/ws/rest/v1">
      <xsd:element nillable="true" name="Response">
        <xsd:complexType>
          <xsd:sequence minOccurs="0">
            <xsd:element minOccurs="0" nillable="true" type="xsd:string" name="Copyright" form="qualified"/>
            <xsd:element minOccurs="0" nillable="true" type="xsd:anyURI" name="BrandLogoUri" form="qualified"/>
            <xsd:element minOccurs="0" nillable="true" type="xsd:integer" name="StatusCode" form="qualified"/>
            <xsd:element minOccurs="0" nillable="true" type="xsd:string" name="StatusDescription" form="qualified"/>
            <xsd:element minOccurs="0" nillable="true" type="xsd:string" name="AuthenticationResultCode" form="qualified"/>
            <xsd:element minOccurs="0" nillable="true" type="xsd:string" name="TraceId" form="qualified"/>
            <xsd:element minOccurs="0" nillable="true" name="ResourceSets" form="qualified">
              <xsd:complexType>
                <xsd:sequence minOccurs="0">
                  <xsd:element minOccurs="0" nillable="true" name="ResourceSet" form="qualified">
                    <xsd:complexType>
                      <xsd:sequence minOccurs="0">
                        <xsd:element minOccurs="0" nillable="true" type="xsd:integer" name="EstimatedTotal" form="qualified"/>
                        <xsd:element minOccurs="0" nillable="true" name="Resources" form="qualified">
                          <xsd:complexType>
                            <xsd:sequence minOccurs="0">
                              <xsd:element minOccurs="0" nillable="true" name="Route" form="qualified">
                                <xsd:complexType>
                                  <xsd:sequence minOccurs="0">
                                    <xsd:element minOccurs="0" nillable="true" type="xsd:string" name="Id" form="qualified"/>
                                    <xsd:element minOccurs="0" nillable="true" name="BoundingBox" form="qualified">
                                      <xsd:complexType>
                                        <xsd:sequence minOccurs="0">
                                          <xsd:element minOccurs="0" nillable="true" type="xsd:double" name="SouthLatitude" form="qualified"/>
                                          <xsd:element minOccurs="0" nillable="true" type="xsd:double" name="WestLongitude" form="qualified"/>
                                          <xsd:element minOccurs="0" nillable="true" type="xsd:double" name="NorthLatitude" form="qualified"/>
                                          <xsd:element minOccurs="0" nillable="true" type="xsd:double" name="EastLongitude" form="qualified"/>
                                        </xsd:sequence>
                                      </xsd:complexType>
                                    </xsd:element>
                                    <xsd:element minOccurs="0" nillable="true" type="xsd:string" name="DistanceUnit" form="qualified"/>
                                    <xsd:element minOccurs="0" nillable="true" type="xsd:string" name="DurationUnit" form="qualified"/>
                                    <xsd:element minOccurs="0" nillable="true" type="xsd:double" name="TravelDistance" form="qualified"/>
                                    <xsd:element minOccurs="0" nillable="true" type="xsd:integer" name="TravelDuration" form="qualified"/>
                                    <xsd:element minOccurs="0" nillable="true" type="xsd:integer" name="TravelDurationTraffic" form="qualified"/>
                                    <xsd:element minOccurs="0" nillable="true" name="RouteLeg" form="qualified">
                                      <xsd:complexType>
                                        <xsd:sequence minOccurs="0">
                                          <xsd:element minOccurs="0" nillable="true" type="xsd:double" name="TravelDistance" form="qualified"/>
                                          <xsd:element minOccurs="0" nillable="true" type="xsd:integer" name="TravelDuration" form="qualified"/>
                                          <xsd:element minOccurs="0" nillable="true" type="xsd:integer" name="Cost" form="qualified"/>
                                          <xsd:element minOccurs="0" nillable="true" name="ActualStart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ctualEnd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ItineraryItem" form="qualified">
                                            <xsd:complexType>
                                              <xsd:sequence minOccurs="0" maxOccurs="unbounded">
                                                <xsd:element minOccurs="0" nillable="true" type="xsd:string" name="TravelMode" form="qualified"/>
                                                <xsd:element minOccurs="0" nillable="true" type="xsd:double" name="TravelDistance" form="qualified"/>
                                                <xsd:element minOccurs="0" nillable="true" type="xsd:integer" name="TravelDuration" form="qualified"/>
                                                <xsd:element minOccurs="0" nillable="true" name="ManeuverPoint" form="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Latitude" form="qualified"/>
                                                      <xsd:element minOccurs="0" nillable="true" type="xsd:double" name="Longitu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Instruction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maneuverType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string" name="CompassDirection" form="qualified"/>
                                                <xsd:element minOccurs="0" nillable="true" name="Warning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warningType" form="unqualified" type="xsd:string"/>
                                                        <xsd:attribute name="severity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maxOccurs="unbounded" nillable="true" name="Detail" form="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type="xsd:string" name="ManeuverType" form="qualified"/>
                                                      <xsd:element minOccurs="0" nillable="true" type="xsd:integer" name="StartPathIndex" form="qualified"/>
                                                      <xsd:element minOccurs="0" nillable="true" type="xsd:integer" name="EndPathIndex" form="qualified"/>
                                                      <xsd:element minOccurs="0" nillable="true" type="xsd:string" name="Name" form="qualified"/>
                                                      <xsd:element minOccurs="0" nillable="true" type="xsd:integer" name="CompassDegrees" form="qualified"/>
                                                      <xsd:element minOccurs="0" nillable="true" type="xsd:string" name="Mode" form="qualified"/>
                                                      <xsd:element minOccurs="0" nillable="true" type="xsd:integer" name="PreviousEntityId" form="qualified"/>
                                                      <xsd:element minOccurs="0" nillable="true" type="xsd:integer" name="NextEntityId" form="qualified"/>
                                                      <xsd:element minOccurs="0" nillable="true" type="xsd:string" name="RoadType" form="qualified"/>
                                                      <xsd:element minOccurs="0" nillable="true" name="RoadShieldRequestParameters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Bucket" form="qualified"/>
                                                            <xsd:element minOccurs="0" nillable="true" name="Shield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RoadShieldType" form="qualified"/>
                                                                  <xsd:element minOccurs="0" nillable="true" type="xsd:string" name="Label" form="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type="xsd:string" name="LocationCo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Exit" form="qualified"/>
                                                <xsd:element minOccurs="0" nillable="true" type="xsd:string" name="TollZone" form="qualified"/>
                                                <xsd:element minOccurs="0" nillable="true" type="xsd:string" name="TransitTerminus" form="qualified"/>
                                                <xsd:element minOccurs="0" nillable="true" type="xsd:integer" name="TripId" form="qualified"/>
                                                <xsd:element minOccurs="0" nillable="true" type="xsd:string" name="IconType" form="qualified"/>
                                                <xsd:element minOccurs="0" nillable="true" type="xsd:dateTime" name="Time" form="qualified"/>
                                                <xsd:element minOccurs="0" nillable="true" type="xsd:integer" name="TransitStopId" form="qualified"/>
                                                <xsd:element minOccurs="0" nillable="true" type="xsd:string" name="TowardsRoadName" form="qualified"/>
                                                <xsd:element minOccurs="0" nillable="true" type="xsd:string" name="SideOfStreet" form="qualified"/>
                                                <xsd:element minOccurs="0" maxOccurs="unbounded" nillable="true" type="xsd:string" name="Sign" form="qualified"/>
                                                <xsd:element minOccurs="0" maxOccurs="unbounded" nillable="true" type="xsd:string" name="Hin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ateTime" name="StartTime" form="qualified"/>
                                          <xsd:element minOccurs="0" nillable="true" type="xsd:dateTime" name="EndTime" form="qualified"/>
                                          <xsd:element minOccurs="0" nillable="true" type="xsd:string" name="Description" form="qualified"/>
                                          <xsd:element minOccurs="0" nillable="true" type="xsd:string" name="RouteRegion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ponse_Map" RootElement="Response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8.0000000000000002E-3"/>
          <c:y val="1.020408163265306E-2"/>
          <c:w val="0.77200000000000002"/>
          <c:h val="0.9846938775510204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</c:marker>
          <c:dPt>
            <c:idx val="0"/>
            <c:marker>
              <c:symbol val="square"/>
              <c:size val="10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8A8-4CBD-8BD9-97A05A1C55B4}"/>
              </c:ext>
            </c:extLst>
          </c:dPt>
          <c:dPt>
            <c:idx val="1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A8-4CBD-8BD9-97A05A1C55B4}"/>
              </c:ext>
            </c:extLst>
          </c:dPt>
          <c:dPt>
            <c:idx val="2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A8-4CBD-8BD9-97A05A1C55B4}"/>
              </c:ext>
            </c:extLst>
          </c:dPt>
          <c:dPt>
            <c:idx val="3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8A8-4CBD-8BD9-97A05A1C55B4}"/>
              </c:ext>
            </c:extLst>
          </c:dPt>
          <c:dPt>
            <c:idx val="4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8A8-4CBD-8BD9-97A05A1C55B4}"/>
              </c:ext>
            </c:extLst>
          </c:dPt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8A8-4CBD-8BD9-97A05A1C55B4}"/>
              </c:ext>
            </c:extLst>
          </c:dPt>
          <c:dPt>
            <c:idx val="6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8A8-4CBD-8BD9-97A05A1C55B4}"/>
              </c:ext>
            </c:extLst>
          </c:dPt>
          <c:dPt>
            <c:idx val="7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8A8-4CBD-8BD9-97A05A1C55B4}"/>
              </c:ext>
            </c:extLst>
          </c:dPt>
          <c:dPt>
            <c:idx val="8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8A8-4CBD-8BD9-97A05A1C55B4}"/>
              </c:ext>
            </c:extLst>
          </c:dPt>
          <c:dPt>
            <c:idx val="9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8A8-4CBD-8BD9-97A05A1C55B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8A8-4CBD-8BD9-97A05A1C55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8A8-4CBD-8BD9-97A05A1C55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8A8-4CBD-8BD9-97A05A1C55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8A8-4CBD-8BD9-97A05A1C55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8A8-4CBD-8BD9-97A05A1C55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8A8-4CBD-8BD9-97A05A1C55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8A8-4CBD-8BD9-97A05A1C55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8A8-4CBD-8BD9-97A05A1C55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8A8-4CBD-8BD9-97A05A1C55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8A8-4CBD-8BD9-97A05A1C55B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'1.Locations'!$E$2:$E$11</c:f>
              <c:numCache>
                <c:formatCode>0.0000000</c:formatCode>
                <c:ptCount val="10"/>
                <c:pt idx="0">
                  <c:v>2.1506392999999999</c:v>
                </c:pt>
                <c:pt idx="1">
                  <c:v>2.8221204000000002</c:v>
                </c:pt>
                <c:pt idx="2">
                  <c:v>1.246912</c:v>
                </c:pt>
                <c:pt idx="3">
                  <c:v>2.0171088541</c:v>
                </c:pt>
                <c:pt idx="4">
                  <c:v>1.8249998999999999</c:v>
                </c:pt>
                <c:pt idx="5">
                  <c:v>0.61933660000000001</c:v>
                </c:pt>
                <c:pt idx="6">
                  <c:v>2.1926312069999998</c:v>
                </c:pt>
                <c:pt idx="7">
                  <c:v>0.58012019999999997</c:v>
                </c:pt>
                <c:pt idx="8">
                  <c:v>1.7031212920000001</c:v>
                </c:pt>
                <c:pt idx="9">
                  <c:v>0.797351849</c:v>
                </c:pt>
              </c:numCache>
            </c:numRef>
          </c:xVal>
          <c:yVal>
            <c:numRef>
              <c:f>'1.Locations'!$D$2:$D$11</c:f>
              <c:numCache>
                <c:formatCode>00,000,000</c:formatCode>
                <c:ptCount val="10"/>
                <c:pt idx="0">
                  <c:v>41.388061800000003</c:v>
                </c:pt>
                <c:pt idx="1">
                  <c:v>41.984707399999998</c:v>
                </c:pt>
                <c:pt idx="2">
                  <c:v>41.123319000000002</c:v>
                </c:pt>
                <c:pt idx="3">
                  <c:v>41.563444277999999</c:v>
                </c:pt>
                <c:pt idx="4">
                  <c:v>41.730961100000002</c:v>
                </c:pt>
                <c:pt idx="5">
                  <c:v>41.625803599999998</c:v>
                </c:pt>
                <c:pt idx="6">
                  <c:v>41.442987610000003</c:v>
                </c:pt>
                <c:pt idx="7">
                  <c:v>40.700617299999998</c:v>
                </c:pt>
                <c:pt idx="8">
                  <c:v>41.34315247</c:v>
                </c:pt>
                <c:pt idx="9">
                  <c:v>42.702251840000002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8-4CBD-8BD9-97A05A1C55B4}"/>
            </c:ext>
          </c:extLst>
        </c:ser>
        <c:ser>
          <c:idx val="1"/>
          <c:order val="1"/>
          <c:tx>
            <c:strRef>
              <c:f>'4.Solution'!$B$3</c:f>
              <c:strCache>
                <c:ptCount val="1"/>
                <c:pt idx="0">
                  <c:v>V1</c:v>
                </c:pt>
              </c:strCache>
            </c:strRef>
          </c:tx>
          <c:spPr>
            <a:ln w="28575"/>
          </c:spPr>
          <c:marker>
            <c:symbol val="none"/>
          </c:marker>
          <c:xVal>
            <c:numRef>
              <c:f>'4.Solution'!$E$5:$E$15</c:f>
              <c:numCache>
                <c:formatCode>General</c:formatCode>
                <c:ptCount val="11"/>
                <c:pt idx="0">
                  <c:v>2.1506392999999999</c:v>
                </c:pt>
                <c:pt idx="1">
                  <c:v>2.1926312069999998</c:v>
                </c:pt>
                <c:pt idx="2">
                  <c:v>2.1506392999999999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'4.Solution'!$D$5:$D$15</c:f>
              <c:numCache>
                <c:formatCode>General</c:formatCode>
                <c:ptCount val="11"/>
                <c:pt idx="0">
                  <c:v>41.388061800000003</c:v>
                </c:pt>
                <c:pt idx="1">
                  <c:v>41.442987610000003</c:v>
                </c:pt>
                <c:pt idx="2">
                  <c:v>41.388061800000003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A8-4CBD-8BD9-97A05A1C55B4}"/>
            </c:ext>
          </c:extLst>
        </c:ser>
        <c:ser>
          <c:idx val="2"/>
          <c:order val="2"/>
          <c:tx>
            <c:strRef>
              <c:f>'4.Solution'!$S$3</c:f>
              <c:strCache>
                <c:ptCount val="1"/>
                <c:pt idx="0">
                  <c:v>V2</c:v>
                </c:pt>
              </c:strCache>
            </c:strRef>
          </c:tx>
          <c:spPr>
            <a:ln w="28575"/>
          </c:spPr>
          <c:marker>
            <c:symbol val="none"/>
          </c:marker>
          <c:xVal>
            <c:numRef>
              <c:f>'4.Solution'!$V$5:$V$15</c:f>
              <c:numCache>
                <c:formatCode>General</c:formatCode>
                <c:ptCount val="11"/>
                <c:pt idx="0">
                  <c:v>2.1506392999999999</c:v>
                </c:pt>
                <c:pt idx="1">
                  <c:v>2.0171088541</c:v>
                </c:pt>
                <c:pt idx="2">
                  <c:v>2.1506392999999999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'4.Solution'!$U$5:$U$15</c:f>
              <c:numCache>
                <c:formatCode>General</c:formatCode>
                <c:ptCount val="11"/>
                <c:pt idx="0">
                  <c:v>41.388061800000003</c:v>
                </c:pt>
                <c:pt idx="1">
                  <c:v>41.563444277999999</c:v>
                </c:pt>
                <c:pt idx="2">
                  <c:v>41.388061800000003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A8-4CBD-8BD9-97A05A1C55B4}"/>
            </c:ext>
          </c:extLst>
        </c:ser>
        <c:ser>
          <c:idx val="3"/>
          <c:order val="3"/>
          <c:tx>
            <c:strRef>
              <c:f>'4.Solution'!$AJ$3</c:f>
              <c:strCache>
                <c:ptCount val="1"/>
                <c:pt idx="0">
                  <c:v>V3</c:v>
                </c:pt>
              </c:strCache>
            </c:strRef>
          </c:tx>
          <c:spPr>
            <a:ln w="28575"/>
          </c:spPr>
          <c:marker>
            <c:symbol val="none"/>
          </c:marker>
          <c:xVal>
            <c:numRef>
              <c:f>'4.Solution'!$AM$5:$AM$15</c:f>
              <c:numCache>
                <c:formatCode>General</c:formatCode>
                <c:ptCount val="11"/>
                <c:pt idx="0">
                  <c:v>2.1506392999999999</c:v>
                </c:pt>
                <c:pt idx="1">
                  <c:v>1.7031212920000001</c:v>
                </c:pt>
                <c:pt idx="2">
                  <c:v>0.58012019999999997</c:v>
                </c:pt>
                <c:pt idx="3">
                  <c:v>1.246912</c:v>
                </c:pt>
                <c:pt idx="4">
                  <c:v>2.1506392999999999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'4.Solution'!$AL$5:$AL$15</c:f>
              <c:numCache>
                <c:formatCode>General</c:formatCode>
                <c:ptCount val="11"/>
                <c:pt idx="0">
                  <c:v>41.388061800000003</c:v>
                </c:pt>
                <c:pt idx="1">
                  <c:v>41.34315247</c:v>
                </c:pt>
                <c:pt idx="2">
                  <c:v>40.700617299999998</c:v>
                </c:pt>
                <c:pt idx="3">
                  <c:v>41.123319000000002</c:v>
                </c:pt>
                <c:pt idx="4">
                  <c:v>41.388061800000003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A8-4CBD-8BD9-97A05A1C55B4}"/>
            </c:ext>
          </c:extLst>
        </c:ser>
        <c:ser>
          <c:idx val="4"/>
          <c:order val="4"/>
          <c:tx>
            <c:strRef>
              <c:f>'4.Solution'!$BA$3</c:f>
              <c:strCache>
                <c:ptCount val="1"/>
                <c:pt idx="0">
                  <c:v>V4</c:v>
                </c:pt>
              </c:strCache>
            </c:strRef>
          </c:tx>
          <c:spPr>
            <a:ln w="28575"/>
          </c:spPr>
          <c:marker>
            <c:symbol val="none"/>
          </c:marker>
          <c:xVal>
            <c:numRef>
              <c:f>'4.Solution'!$BD$5:$BD$15</c:f>
              <c:numCache>
                <c:formatCode>General</c:formatCode>
                <c:ptCount val="11"/>
                <c:pt idx="0">
                  <c:v>2.1506392999999999</c:v>
                </c:pt>
                <c:pt idx="1">
                  <c:v>2.8221204000000002</c:v>
                </c:pt>
                <c:pt idx="2">
                  <c:v>2.1506392999999999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'4.Solution'!$BC$5:$BC$15</c:f>
              <c:numCache>
                <c:formatCode>General</c:formatCode>
                <c:ptCount val="11"/>
                <c:pt idx="0">
                  <c:v>41.388061800000003</c:v>
                </c:pt>
                <c:pt idx="1">
                  <c:v>41.984707399999998</c:v>
                </c:pt>
                <c:pt idx="2">
                  <c:v>41.388061800000003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8A8-4CBD-8BD9-97A05A1C55B4}"/>
            </c:ext>
          </c:extLst>
        </c:ser>
        <c:ser>
          <c:idx val="5"/>
          <c:order val="5"/>
          <c:tx>
            <c:strRef>
              <c:f>'4.Solution'!$BR$3</c:f>
              <c:strCache>
                <c:ptCount val="1"/>
                <c:pt idx="0">
                  <c:v>V5</c:v>
                </c:pt>
              </c:strCache>
            </c:strRef>
          </c:tx>
          <c:spPr>
            <a:ln w="28575"/>
          </c:spPr>
          <c:marker>
            <c:symbol val="none"/>
          </c:marker>
          <c:xVal>
            <c:numRef>
              <c:f>'4.Solution'!$BU$5:$BU$15</c:f>
              <c:numCache>
                <c:formatCode>General</c:formatCode>
                <c:ptCount val="11"/>
                <c:pt idx="0">
                  <c:v>2.1506392999999999</c:v>
                </c:pt>
                <c:pt idx="1">
                  <c:v>0.61933660000000001</c:v>
                </c:pt>
                <c:pt idx="2">
                  <c:v>0.797351849</c:v>
                </c:pt>
                <c:pt idx="3">
                  <c:v>1.8249998999999999</c:v>
                </c:pt>
                <c:pt idx="4">
                  <c:v>2.1506392999999999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'4.Solution'!$BT$5:$BT$15</c:f>
              <c:numCache>
                <c:formatCode>General</c:formatCode>
                <c:ptCount val="11"/>
                <c:pt idx="0">
                  <c:v>41.388061800000003</c:v>
                </c:pt>
                <c:pt idx="1">
                  <c:v>41.625803599999998</c:v>
                </c:pt>
                <c:pt idx="2">
                  <c:v>42.702251840000002</c:v>
                </c:pt>
                <c:pt idx="3">
                  <c:v>41.730961100000002</c:v>
                </c:pt>
                <c:pt idx="4">
                  <c:v>41.388061800000003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8A8-4CBD-8BD9-97A05A1C5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579759"/>
        <c:axId val="2105583087"/>
      </c:scatterChart>
      <c:valAx>
        <c:axId val="2105579759"/>
        <c:scaling>
          <c:orientation val="minMax"/>
          <c:max val="3.3563232421875"/>
          <c:min val="-0.1593017578125"/>
        </c:scaling>
        <c:delete val="1"/>
        <c:axPos val="b"/>
        <c:numFmt formatCode="0.0000000" sourceLinked="1"/>
        <c:majorTickMark val="out"/>
        <c:minorTickMark val="none"/>
        <c:tickLblPos val="nextTo"/>
        <c:crossAx val="2105583087"/>
        <c:crosses val="autoZero"/>
        <c:crossBetween val="midCat"/>
      </c:valAx>
      <c:valAx>
        <c:axId val="2105583087"/>
        <c:scaling>
          <c:orientation val="minMax"/>
          <c:max val="42.859859815062784"/>
          <c:min val="40.229218188701154"/>
        </c:scaling>
        <c:delete val="1"/>
        <c:axPos val="l"/>
        <c:numFmt formatCode="00,000,000" sourceLinked="1"/>
        <c:majorTickMark val="out"/>
        <c:minorTickMark val="none"/>
        <c:tickLblPos val="nextTo"/>
        <c:crossAx val="2105579759"/>
        <c:crosses val="autoZero"/>
        <c:crossBetween val="midCat"/>
      </c:valAx>
      <c:spPr>
        <a:blipFill dpi="0" rotWithShape="1">
          <a:blip xmlns:r="http://schemas.openxmlformats.org/officeDocument/2006/relationships" r:embed="rId1">
            <a:alphaModFix amt="50000"/>
          </a:blip>
          <a:srcRect/>
          <a:stretch>
            <a:fillRect/>
          </a:stretch>
        </a:blipFill>
        <a:ln w="38100">
          <a:solidFill>
            <a:srgbClr val="FFC000"/>
          </a:solidFill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90650992125984253"/>
          <c:y val="1.020408163265306E-2"/>
          <c:w val="8.1490078740157484E-2"/>
          <c:h val="0.98469387755102045"/>
        </c:manualLayout>
      </c:layout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254000</xdr:colOff>
      <xdr:row>27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B83280-8757-4D37-A70B-47E4A9610A7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3"/>
  <sheetViews>
    <sheetView zoomScaleNormal="100" workbookViewId="0">
      <selection activeCell="C13" sqref="C13"/>
    </sheetView>
  </sheetViews>
  <sheetFormatPr baseColWidth="10" defaultColWidth="8.7265625" defaultRowHeight="14.5" x14ac:dyDescent="0.35"/>
  <cols>
    <col min="1" max="1" width="22" bestFit="1" customWidth="1"/>
    <col min="2" max="2" width="34.36328125" bestFit="1" customWidth="1"/>
    <col min="3" max="3" width="47.54296875" bestFit="1" customWidth="1"/>
    <col min="4" max="4" width="59" bestFit="1" customWidth="1"/>
  </cols>
  <sheetData>
    <row r="1" spans="1:4" s="6" customFormat="1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4" t="s">
        <v>4</v>
      </c>
      <c r="B2" s="2" t="s">
        <v>5</v>
      </c>
      <c r="C2" s="43" t="s">
        <v>81</v>
      </c>
      <c r="D2" s="2" t="s">
        <v>33</v>
      </c>
    </row>
    <row r="4" spans="1:4" x14ac:dyDescent="0.35">
      <c r="A4" s="5" t="s">
        <v>6</v>
      </c>
      <c r="B4" s="3" t="s">
        <v>25</v>
      </c>
      <c r="C4" s="7">
        <v>1</v>
      </c>
      <c r="D4" s="3" t="s">
        <v>26</v>
      </c>
    </row>
    <row r="5" spans="1:4" x14ac:dyDescent="0.35">
      <c r="A5" s="2"/>
      <c r="B5" s="2" t="s">
        <v>7</v>
      </c>
      <c r="C5" s="8">
        <v>9</v>
      </c>
      <c r="D5" s="2" t="s">
        <v>24</v>
      </c>
    </row>
    <row r="7" spans="1:4" x14ac:dyDescent="0.35">
      <c r="A7" s="5" t="s">
        <v>8</v>
      </c>
      <c r="B7" s="3" t="s">
        <v>38</v>
      </c>
      <c r="C7" s="7" t="s">
        <v>32</v>
      </c>
      <c r="D7" s="3" t="s">
        <v>34</v>
      </c>
    </row>
    <row r="8" spans="1:4" x14ac:dyDescent="0.35">
      <c r="A8" s="2"/>
      <c r="B8" s="2" t="s">
        <v>39</v>
      </c>
      <c r="C8" s="8" t="s">
        <v>40</v>
      </c>
      <c r="D8" s="2"/>
    </row>
    <row r="9" spans="1:4" x14ac:dyDescent="0.35">
      <c r="A9" s="2"/>
      <c r="B9" s="2" t="s">
        <v>9</v>
      </c>
      <c r="C9" s="8" t="s">
        <v>10</v>
      </c>
      <c r="D9" s="2" t="s">
        <v>35</v>
      </c>
    </row>
    <row r="10" spans="1:4" x14ac:dyDescent="0.35">
      <c r="A10" s="2"/>
      <c r="B10" s="2" t="s">
        <v>11</v>
      </c>
      <c r="C10" s="8">
        <v>70</v>
      </c>
      <c r="D10" s="2"/>
    </row>
    <row r="12" spans="1:4" x14ac:dyDescent="0.35">
      <c r="A12" s="5" t="s">
        <v>12</v>
      </c>
      <c r="B12" s="3" t="s">
        <v>13</v>
      </c>
      <c r="C12" s="7">
        <v>1</v>
      </c>
      <c r="D12" s="3"/>
    </row>
    <row r="14" spans="1:4" x14ac:dyDescent="0.35">
      <c r="A14" s="5" t="s">
        <v>14</v>
      </c>
      <c r="B14" s="3" t="s">
        <v>36</v>
      </c>
      <c r="C14" s="7" t="s">
        <v>37</v>
      </c>
      <c r="D14" s="3"/>
    </row>
    <row r="15" spans="1:4" x14ac:dyDescent="0.35">
      <c r="A15" s="2"/>
      <c r="B15" s="2" t="s">
        <v>16</v>
      </c>
      <c r="C15" s="8" t="s">
        <v>17</v>
      </c>
      <c r="D15" s="2"/>
    </row>
    <row r="16" spans="1:4" x14ac:dyDescent="0.35">
      <c r="A16" s="2"/>
      <c r="B16" s="2" t="s">
        <v>28</v>
      </c>
      <c r="C16" s="8" t="s">
        <v>15</v>
      </c>
      <c r="D16" s="2" t="s">
        <v>30</v>
      </c>
    </row>
    <row r="18" spans="1:4" x14ac:dyDescent="0.35">
      <c r="A18" s="5" t="s">
        <v>18</v>
      </c>
      <c r="B18" s="3" t="s">
        <v>19</v>
      </c>
      <c r="C18" s="7" t="s">
        <v>31</v>
      </c>
      <c r="D18" s="3"/>
    </row>
    <row r="19" spans="1:4" x14ac:dyDescent="0.35">
      <c r="A19" s="2"/>
      <c r="B19" s="2" t="s">
        <v>20</v>
      </c>
      <c r="C19" s="8" t="s">
        <v>41</v>
      </c>
      <c r="D19" s="2"/>
    </row>
    <row r="21" spans="1:4" x14ac:dyDescent="0.35">
      <c r="A21" s="5" t="s">
        <v>21</v>
      </c>
      <c r="B21" s="3" t="s">
        <v>22</v>
      </c>
      <c r="C21" s="7" t="s">
        <v>15</v>
      </c>
      <c r="D21" s="3"/>
    </row>
    <row r="22" spans="1:4" x14ac:dyDescent="0.35">
      <c r="A22" s="2"/>
      <c r="B22" s="2" t="s">
        <v>29</v>
      </c>
      <c r="C22" s="8" t="s">
        <v>27</v>
      </c>
      <c r="D22" s="2"/>
    </row>
    <row r="23" spans="1:4" x14ac:dyDescent="0.35">
      <c r="A23" s="2"/>
      <c r="B23" s="2" t="s">
        <v>23</v>
      </c>
      <c r="C23" s="8">
        <v>60</v>
      </c>
      <c r="D23" s="2" t="str">
        <f>CONCATENATE("Recommendation: At least ", 60 * CEILING(C5 * C5 * C5 / 100000, 1)," seconds")</f>
        <v>Recommendation: At least 60 seconds</v>
      </c>
    </row>
  </sheetData>
  <phoneticPr fontId="3" type="noConversion"/>
  <dataValidations count="13">
    <dataValidation type="list" allowBlank="1" showInputMessage="1" showErrorMessage="1" sqref="C7" xr:uid="{FF219175-F7E2-44FB-9615-AD7666F2B65A}">
      <formula1>"Manual entry, Euclidian distances, Rounded Euclidian distances, Rectilinear (Manhattan) distances, Bird flight distances (km), Bird flight distances (miles), Bing Maps driving distances (km), Bing Maps driving distances (miles)"</formula1>
    </dataValidation>
    <dataValidation type="list" allowBlank="1" showInputMessage="1" showErrorMessage="1" sqref="C9" xr:uid="{BCB98C96-5A42-4C2D-9947-3D614DB9B28F}">
      <formula1>"Shortest, Fastest, Fastest - Real Time Traffic"</formula1>
    </dataValidation>
    <dataValidation type="list" allowBlank="1" showInputMessage="1" showErrorMessage="1" sqref="C14" xr:uid="{B0DB6899-03F6-45A8-9B9F-16092044E765}">
      <formula1>"No, Yes - only once at the end, Yes - may do so multiple times"</formula1>
    </dataValidation>
    <dataValidation type="list" allowBlank="1" showInputMessage="1" showErrorMessage="1" sqref="C15" xr:uid="{2CD1E276-1A6F-4948-8C75-5D10C6E5497B}">
      <formula1>"Hard, Soft"</formula1>
    </dataValidation>
    <dataValidation type="list" allowBlank="1" showInputMessage="1" showErrorMessage="1" sqref="C16 C21 C22" xr:uid="{3B0AA554-AF45-4F53-ACDF-4EDBAF28DF9D}">
      <formula1>"Yes, No"</formula1>
    </dataValidation>
    <dataValidation type="list" allowBlank="1" showInputMessage="1" showErrorMessage="1" sqref="C18" xr:uid="{6D6B3A4D-0D9B-4824-A6C2-5C9F06469F61}">
      <formula1>"Blank, Bing Maps"</formula1>
    </dataValidation>
    <dataValidation type="list" allowBlank="1" showInputMessage="1" showErrorMessage="1" sqref="C19" xr:uid="{95343ACB-B4D8-4AA3-AAA8-C2E8FC3E78E6}">
      <formula1>"Blank, Location IDs, Location names, (Time window start;Time window end), Service time, Pickup amount, Delivery amount, (Pickup amount; Delivery amount), Profit"</formula1>
    </dataValidation>
    <dataValidation type="list" allowBlank="1" showInputMessage="1" showErrorMessage="1" sqref="C8" xr:uid="{6E4B1BAA-1ADE-4A7A-965C-8F12A3FB8221}">
      <formula1>"Manual entry, Average vehicle speed, Bing Maps driving durations"</formula1>
    </dataValidation>
    <dataValidation type="whole" allowBlank="1" showInputMessage="1" showErrorMessage="1" error="Please enter an integer from 1 to 20" sqref="C4" xr:uid="{925FD42D-C688-4231-87EB-4E033E3F50ED}">
      <formula1>1</formula1>
      <formula2>20</formula2>
    </dataValidation>
    <dataValidation type="whole" allowBlank="1" showInputMessage="1" showErrorMessage="1" error="Please enter an integer from 5 to 200" sqref="C5" xr:uid="{E49E6F0E-1541-4DAF-BF9D-0AD3BC67B818}">
      <formula1>5</formula1>
      <formula2>200</formula2>
    </dataValidation>
    <dataValidation type="decimal" operator="greaterThan" allowBlank="1" showInputMessage="1" showErrorMessage="1" error="Please enter a positive value" sqref="C10" xr:uid="{3E54A3A3-7D74-4532-B70E-743772496F87}">
      <formula1>0.0001</formula1>
    </dataValidation>
    <dataValidation type="whole" allowBlank="1" showInputMessage="1" showErrorMessage="1" error="Please enter an integer from 1 to 10" sqref="C12" xr:uid="{08AFA0C6-D53D-42BC-A97C-671ACBE09AF9}">
      <formula1>1</formula1>
      <formula2>10</formula2>
    </dataValidation>
    <dataValidation type="decimal" operator="greaterThanOrEqual" allowBlank="1" showInputMessage="1" showErrorMessage="1" error="Please enter a value greater than or equal to 10 seconds." sqref="C23" xr:uid="{2B5F2F2B-F121-447F-83B6-A8DC67D0A08B}">
      <formula1>10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17B7-3A6C-4E34-919B-A5798F6DCE19}">
  <dimension ref="A1:L11"/>
  <sheetViews>
    <sheetView zoomScale="77" zoomScaleNormal="70" workbookViewId="0">
      <selection activeCell="K12" sqref="K12"/>
    </sheetView>
  </sheetViews>
  <sheetFormatPr baseColWidth="10" defaultRowHeight="14.5" x14ac:dyDescent="0.35"/>
  <cols>
    <col min="1" max="1" width="10.1796875" bestFit="1" customWidth="1"/>
    <col min="2" max="2" width="10.36328125" bestFit="1" customWidth="1"/>
    <col min="3" max="3" width="50.6328125" customWidth="1"/>
    <col min="4" max="4" width="20.6328125" customWidth="1"/>
    <col min="5" max="5" width="18.36328125" customWidth="1"/>
    <col min="6" max="6" width="16.54296875" bestFit="1" customWidth="1"/>
    <col min="7" max="7" width="15.6328125" bestFit="1" customWidth="1"/>
    <col min="8" max="8" width="14.54296875" bestFit="1" customWidth="1"/>
    <col min="10" max="10" width="13.453125" bestFit="1" customWidth="1"/>
    <col min="11" max="11" width="14.6328125" bestFit="1" customWidth="1"/>
    <col min="12" max="12" width="5.54296875" bestFit="1" customWidth="1"/>
  </cols>
  <sheetData>
    <row r="1" spans="1:12" x14ac:dyDescent="0.35">
      <c r="A1" s="10" t="s">
        <v>42</v>
      </c>
      <c r="B1" s="18" t="s">
        <v>43</v>
      </c>
      <c r="C1" s="18" t="s">
        <v>44</v>
      </c>
      <c r="D1" s="18" t="s">
        <v>45</v>
      </c>
      <c r="E1" s="18" t="s">
        <v>46</v>
      </c>
      <c r="F1" s="18" t="s">
        <v>47</v>
      </c>
      <c r="G1" s="18" t="s">
        <v>48</v>
      </c>
      <c r="H1" s="18" t="s">
        <v>49</v>
      </c>
      <c r="I1" s="18" t="s">
        <v>50</v>
      </c>
      <c r="J1" s="18" t="s">
        <v>51</v>
      </c>
      <c r="K1" s="18" t="s">
        <v>52</v>
      </c>
      <c r="L1" s="18" t="s">
        <v>53</v>
      </c>
    </row>
    <row r="2" spans="1:12" ht="15" thickBot="1" x14ac:dyDescent="0.4">
      <c r="A2" s="11">
        <v>0</v>
      </c>
      <c r="B2" s="19" t="s">
        <v>54</v>
      </c>
      <c r="C2" s="19" t="s">
        <v>66</v>
      </c>
      <c r="D2" s="24">
        <v>41.388061800000003</v>
      </c>
      <c r="E2" s="24">
        <v>2.1506392999999999</v>
      </c>
      <c r="F2" s="29">
        <v>0</v>
      </c>
      <c r="G2" s="29">
        <v>0.99930555555555556</v>
      </c>
      <c r="H2" s="36" t="s">
        <v>55</v>
      </c>
      <c r="I2" s="37">
        <v>6.9444444444444441E-3</v>
      </c>
      <c r="J2" s="36">
        <v>5</v>
      </c>
      <c r="K2" s="36">
        <v>0</v>
      </c>
      <c r="L2" s="36">
        <v>0</v>
      </c>
    </row>
    <row r="3" spans="1:12" ht="15" thickTop="1" x14ac:dyDescent="0.35">
      <c r="A3" s="12">
        <v>1</v>
      </c>
      <c r="B3" s="20" t="s">
        <v>56</v>
      </c>
      <c r="C3" s="20" t="s">
        <v>67</v>
      </c>
      <c r="D3" s="25">
        <v>41.984707399999998</v>
      </c>
      <c r="E3" s="25">
        <v>2.8221204000000002</v>
      </c>
      <c r="F3" s="30">
        <v>0</v>
      </c>
      <c r="G3" s="30">
        <v>0.99930555555555556</v>
      </c>
      <c r="H3" s="20" t="s">
        <v>57</v>
      </c>
      <c r="I3" s="34">
        <v>6.9444444444444441E-3</v>
      </c>
      <c r="J3" s="20">
        <v>0</v>
      </c>
      <c r="K3" s="20">
        <v>2366</v>
      </c>
      <c r="L3" s="20">
        <v>0</v>
      </c>
    </row>
    <row r="4" spans="1:12" x14ac:dyDescent="0.35">
      <c r="A4" s="15">
        <v>2</v>
      </c>
      <c r="B4" s="21" t="s">
        <v>58</v>
      </c>
      <c r="C4" s="21" t="s">
        <v>68</v>
      </c>
      <c r="D4" s="26">
        <v>41.123319000000002</v>
      </c>
      <c r="E4" s="26">
        <v>1.246912</v>
      </c>
      <c r="F4" s="31">
        <v>0</v>
      </c>
      <c r="G4" s="31">
        <v>0.99930555555555556</v>
      </c>
      <c r="H4" s="21" t="s">
        <v>57</v>
      </c>
      <c r="I4" s="35">
        <v>6.9444444444444441E-3</v>
      </c>
      <c r="J4" s="21">
        <v>0</v>
      </c>
      <c r="K4" s="21">
        <v>1049</v>
      </c>
      <c r="L4" s="21">
        <v>0</v>
      </c>
    </row>
    <row r="5" spans="1:12" x14ac:dyDescent="0.35">
      <c r="A5" s="15">
        <v>3</v>
      </c>
      <c r="B5" s="22" t="s">
        <v>59</v>
      </c>
      <c r="C5" s="22" t="s">
        <v>69</v>
      </c>
      <c r="D5" s="27">
        <v>41.563444277999999</v>
      </c>
      <c r="E5" s="27">
        <v>2.0171088541</v>
      </c>
      <c r="F5" s="32">
        <v>0</v>
      </c>
      <c r="G5" s="32">
        <v>0.99930555555555556</v>
      </c>
      <c r="H5" s="22" t="s">
        <v>57</v>
      </c>
      <c r="I5" s="35">
        <v>6.9444444444444441E-3</v>
      </c>
      <c r="J5" s="22">
        <v>0</v>
      </c>
      <c r="K5" s="22">
        <v>1859</v>
      </c>
      <c r="L5" s="22">
        <v>0</v>
      </c>
    </row>
    <row r="6" spans="1:12" x14ac:dyDescent="0.35">
      <c r="A6" s="15">
        <v>4</v>
      </c>
      <c r="B6" s="21" t="s">
        <v>60</v>
      </c>
      <c r="C6" s="21" t="s">
        <v>70</v>
      </c>
      <c r="D6" s="26">
        <v>41.730961100000002</v>
      </c>
      <c r="E6" s="26">
        <v>1.8249998999999999</v>
      </c>
      <c r="F6" s="31">
        <v>0</v>
      </c>
      <c r="G6" s="31">
        <v>0.99930555555555556</v>
      </c>
      <c r="H6" s="21" t="s">
        <v>57</v>
      </c>
      <c r="I6" s="35">
        <v>6.9444444444444441E-3</v>
      </c>
      <c r="J6" s="21">
        <v>0</v>
      </c>
      <c r="K6" s="21">
        <v>920</v>
      </c>
      <c r="L6" s="21">
        <v>0</v>
      </c>
    </row>
    <row r="7" spans="1:12" x14ac:dyDescent="0.35">
      <c r="A7" s="15">
        <v>5</v>
      </c>
      <c r="B7" s="22" t="s">
        <v>61</v>
      </c>
      <c r="C7" s="22" t="s">
        <v>71</v>
      </c>
      <c r="D7" s="27">
        <v>41.625803599999998</v>
      </c>
      <c r="E7" s="27">
        <v>0.61933660000000001</v>
      </c>
      <c r="F7" s="32">
        <v>0</v>
      </c>
      <c r="G7" s="32">
        <v>0.99930555555555556</v>
      </c>
      <c r="H7" s="22" t="s">
        <v>57</v>
      </c>
      <c r="I7" s="35">
        <v>6.9444444444444441E-3</v>
      </c>
      <c r="J7" s="22">
        <v>0</v>
      </c>
      <c r="K7" s="22">
        <v>951</v>
      </c>
      <c r="L7" s="22">
        <v>0</v>
      </c>
    </row>
    <row r="8" spans="1:12" x14ac:dyDescent="0.35">
      <c r="A8" s="15">
        <v>6</v>
      </c>
      <c r="B8" s="21" t="s">
        <v>62</v>
      </c>
      <c r="C8" s="21" t="s">
        <v>72</v>
      </c>
      <c r="D8" s="26">
        <v>41.442987610000003</v>
      </c>
      <c r="E8" s="26">
        <v>2.1926312069999998</v>
      </c>
      <c r="F8" s="31">
        <v>0</v>
      </c>
      <c r="G8" s="31">
        <v>0.99930555555555556</v>
      </c>
      <c r="H8" s="21" t="s">
        <v>57</v>
      </c>
      <c r="I8" s="35">
        <v>6.9444444444444441E-3</v>
      </c>
      <c r="J8" s="21">
        <v>0</v>
      </c>
      <c r="K8" s="21">
        <v>2497</v>
      </c>
      <c r="L8" s="21">
        <v>0</v>
      </c>
    </row>
    <row r="9" spans="1:12" x14ac:dyDescent="0.35">
      <c r="A9" s="15">
        <v>7</v>
      </c>
      <c r="B9" s="22" t="s">
        <v>63</v>
      </c>
      <c r="C9" s="22" t="s">
        <v>73</v>
      </c>
      <c r="D9" s="27">
        <v>40.700617299999998</v>
      </c>
      <c r="E9" s="27">
        <v>0.58012019999999997</v>
      </c>
      <c r="F9" s="32">
        <v>0</v>
      </c>
      <c r="G9" s="32">
        <v>0.99930555555555556</v>
      </c>
      <c r="H9" s="22" t="s">
        <v>57</v>
      </c>
      <c r="I9" s="35">
        <v>6.9444444444444441E-3</v>
      </c>
      <c r="J9" s="22">
        <v>0</v>
      </c>
      <c r="K9" s="22">
        <v>519</v>
      </c>
      <c r="L9" s="22">
        <v>0</v>
      </c>
    </row>
    <row r="10" spans="1:12" x14ac:dyDescent="0.35">
      <c r="A10" s="15">
        <v>8</v>
      </c>
      <c r="B10" s="21" t="s">
        <v>64</v>
      </c>
      <c r="C10" s="21" t="s">
        <v>74</v>
      </c>
      <c r="D10" s="26">
        <v>41.34315247</v>
      </c>
      <c r="E10" s="26">
        <v>1.7031212920000001</v>
      </c>
      <c r="F10" s="31">
        <v>0</v>
      </c>
      <c r="G10" s="31">
        <v>0.99930555555555556</v>
      </c>
      <c r="H10" s="21" t="s">
        <v>57</v>
      </c>
      <c r="I10" s="35">
        <v>6.9444444444444441E-3</v>
      </c>
      <c r="J10" s="21">
        <v>0</v>
      </c>
      <c r="K10" s="21">
        <v>208</v>
      </c>
      <c r="L10" s="21">
        <v>0</v>
      </c>
    </row>
    <row r="11" spans="1:12" x14ac:dyDescent="0.35">
      <c r="A11" s="13">
        <v>9</v>
      </c>
      <c r="B11" s="23" t="s">
        <v>65</v>
      </c>
      <c r="C11" s="23" t="s">
        <v>75</v>
      </c>
      <c r="D11" s="28">
        <v>42.702251840000002</v>
      </c>
      <c r="E11" s="28">
        <v>0.797351849</v>
      </c>
      <c r="F11" s="33">
        <v>0</v>
      </c>
      <c r="G11" s="33">
        <v>0.99930555555555556</v>
      </c>
      <c r="H11" s="23" t="s">
        <v>57</v>
      </c>
      <c r="I11" s="35">
        <v>6.9444444444444441E-3</v>
      </c>
      <c r="J11" s="23">
        <v>0</v>
      </c>
      <c r="K11" s="23">
        <v>86</v>
      </c>
      <c r="L11" s="23">
        <v>0</v>
      </c>
    </row>
  </sheetData>
  <conditionalFormatting sqref="A2">
    <cfRule type="expression" dxfId="280" priority="1" stopIfTrue="1">
      <formula>ISBLANK(A2)</formula>
    </cfRule>
  </conditionalFormatting>
  <conditionalFormatting sqref="B2">
    <cfRule type="expression" dxfId="279" priority="2" stopIfTrue="1">
      <formula>ISBLANK(B2)</formula>
    </cfRule>
  </conditionalFormatting>
  <conditionalFormatting sqref="F2">
    <cfRule type="cellIs" dxfId="278" priority="3" stopIfTrue="1" operator="greaterThan">
      <formula>G2-$I$2</formula>
    </cfRule>
  </conditionalFormatting>
  <conditionalFormatting sqref="G2">
    <cfRule type="cellIs" dxfId="277" priority="4" stopIfTrue="1" operator="lessThan">
      <formula>F2+$I$2</formula>
    </cfRule>
  </conditionalFormatting>
  <conditionalFormatting sqref="I2">
    <cfRule type="cellIs" dxfId="276" priority="5" stopIfTrue="1" operator="greaterThan">
      <formula>G2-F2 + 0.0001</formula>
    </cfRule>
  </conditionalFormatting>
  <conditionalFormatting sqref="A3">
    <cfRule type="expression" dxfId="275" priority="6" stopIfTrue="1">
      <formula>ISBLANK(A3)</formula>
    </cfRule>
  </conditionalFormatting>
  <conditionalFormatting sqref="B3">
    <cfRule type="expression" dxfId="274" priority="7" stopIfTrue="1">
      <formula>ISBLANK(B3)</formula>
    </cfRule>
  </conditionalFormatting>
  <conditionalFormatting sqref="F3">
    <cfRule type="cellIs" dxfId="273" priority="8" stopIfTrue="1" operator="greaterThan">
      <formula>G3-$I$3</formula>
    </cfRule>
  </conditionalFormatting>
  <conditionalFormatting sqref="G3">
    <cfRule type="cellIs" dxfId="272" priority="9" stopIfTrue="1" operator="lessThan">
      <formula>F3+$I$3</formula>
    </cfRule>
  </conditionalFormatting>
  <conditionalFormatting sqref="H3">
    <cfRule type="cellIs" dxfId="271" priority="10" stopIfTrue="1" operator="equal">
      <formula>"May be visited"</formula>
    </cfRule>
    <cfRule type="cellIs" dxfId="270" priority="11" stopIfTrue="1" operator="equal">
      <formula>"Don't visit"</formula>
    </cfRule>
  </conditionalFormatting>
  <conditionalFormatting sqref="I3">
    <cfRule type="cellIs" dxfId="269" priority="12" stopIfTrue="1" operator="greaterThan">
      <formula>G3-F3 + 0.0001</formula>
    </cfRule>
  </conditionalFormatting>
  <conditionalFormatting sqref="A4">
    <cfRule type="expression" dxfId="268" priority="13" stopIfTrue="1">
      <formula>ISBLANK(A4)</formula>
    </cfRule>
  </conditionalFormatting>
  <conditionalFormatting sqref="B4">
    <cfRule type="expression" dxfId="267" priority="14" stopIfTrue="1">
      <formula>ISBLANK(B4)</formula>
    </cfRule>
  </conditionalFormatting>
  <conditionalFormatting sqref="F4">
    <cfRule type="cellIs" dxfId="266" priority="15" stopIfTrue="1" operator="greaterThan">
      <formula>G4-$I$4</formula>
    </cfRule>
  </conditionalFormatting>
  <conditionalFormatting sqref="G4">
    <cfRule type="cellIs" dxfId="265" priority="16" stopIfTrue="1" operator="lessThan">
      <formula>F4+$I$4</formula>
    </cfRule>
  </conditionalFormatting>
  <conditionalFormatting sqref="H4">
    <cfRule type="cellIs" dxfId="264" priority="17" stopIfTrue="1" operator="equal">
      <formula>"May be visited"</formula>
    </cfRule>
    <cfRule type="cellIs" dxfId="263" priority="18" stopIfTrue="1" operator="equal">
      <formula>"Don't visit"</formula>
    </cfRule>
  </conditionalFormatting>
  <conditionalFormatting sqref="I4:I11">
    <cfRule type="cellIs" dxfId="262" priority="19" stopIfTrue="1" operator="greaterThan">
      <formula>G4-F4 + 0.0001</formula>
    </cfRule>
  </conditionalFormatting>
  <conditionalFormatting sqref="A5">
    <cfRule type="expression" dxfId="261" priority="20" stopIfTrue="1">
      <formula>ISBLANK(A5)</formula>
    </cfRule>
  </conditionalFormatting>
  <conditionalFormatting sqref="B5">
    <cfRule type="expression" dxfId="260" priority="21" stopIfTrue="1">
      <formula>ISBLANK(B5)</formula>
    </cfRule>
  </conditionalFormatting>
  <conditionalFormatting sqref="F5">
    <cfRule type="cellIs" dxfId="259" priority="22" stopIfTrue="1" operator="greaterThan">
      <formula>G5-$I$5</formula>
    </cfRule>
  </conditionalFormatting>
  <conditionalFormatting sqref="G5">
    <cfRule type="cellIs" dxfId="258" priority="23" stopIfTrue="1" operator="lessThan">
      <formula>F5+$I$5</formula>
    </cfRule>
  </conditionalFormatting>
  <conditionalFormatting sqref="H5">
    <cfRule type="cellIs" dxfId="257" priority="24" stopIfTrue="1" operator="equal">
      <formula>"May be visited"</formula>
    </cfRule>
  </conditionalFormatting>
  <conditionalFormatting sqref="H5">
    <cfRule type="cellIs" dxfId="256" priority="25" stopIfTrue="1" operator="equal">
      <formula>"Don't visit"</formula>
    </cfRule>
  </conditionalFormatting>
  <conditionalFormatting sqref="I5">
    <cfRule type="cellIs" dxfId="255" priority="26" stopIfTrue="1" operator="greaterThan">
      <formula>G5-F5 + 0.0001</formula>
    </cfRule>
  </conditionalFormatting>
  <conditionalFormatting sqref="A6">
    <cfRule type="expression" dxfId="254" priority="27" stopIfTrue="1">
      <formula>ISBLANK(A6)</formula>
    </cfRule>
  </conditionalFormatting>
  <conditionalFormatting sqref="B6">
    <cfRule type="expression" dxfId="253" priority="28" stopIfTrue="1">
      <formula>ISBLANK(B6)</formula>
    </cfRule>
  </conditionalFormatting>
  <conditionalFormatting sqref="F6">
    <cfRule type="cellIs" dxfId="252" priority="29" stopIfTrue="1" operator="greaterThan">
      <formula>G6-$I$6</formula>
    </cfRule>
  </conditionalFormatting>
  <conditionalFormatting sqref="G6">
    <cfRule type="cellIs" dxfId="251" priority="30" stopIfTrue="1" operator="lessThan">
      <formula>F6+$I$6</formula>
    </cfRule>
  </conditionalFormatting>
  <conditionalFormatting sqref="H6">
    <cfRule type="cellIs" dxfId="250" priority="31" stopIfTrue="1" operator="equal">
      <formula>"May be visited"</formula>
    </cfRule>
  </conditionalFormatting>
  <conditionalFormatting sqref="H6">
    <cfRule type="cellIs" dxfId="249" priority="32" stopIfTrue="1" operator="equal">
      <formula>"Don't visit"</formula>
    </cfRule>
  </conditionalFormatting>
  <conditionalFormatting sqref="I6">
    <cfRule type="cellIs" dxfId="248" priority="33" stopIfTrue="1" operator="greaterThan">
      <formula>G6-F6 + 0.0001</formula>
    </cfRule>
  </conditionalFormatting>
  <conditionalFormatting sqref="A7">
    <cfRule type="expression" dxfId="247" priority="34" stopIfTrue="1">
      <formula>ISBLANK(A7)</formula>
    </cfRule>
  </conditionalFormatting>
  <conditionalFormatting sqref="B7">
    <cfRule type="expression" dxfId="246" priority="35" stopIfTrue="1">
      <formula>ISBLANK(B7)</formula>
    </cfRule>
  </conditionalFormatting>
  <conditionalFormatting sqref="F7">
    <cfRule type="cellIs" dxfId="245" priority="36" stopIfTrue="1" operator="greaterThan">
      <formula>G7-$I$7</formula>
    </cfRule>
  </conditionalFormatting>
  <conditionalFormatting sqref="G7">
    <cfRule type="cellIs" dxfId="244" priority="37" stopIfTrue="1" operator="lessThan">
      <formula>F7+$I$7</formula>
    </cfRule>
  </conditionalFormatting>
  <conditionalFormatting sqref="H7">
    <cfRule type="cellIs" dxfId="243" priority="38" stopIfTrue="1" operator="equal">
      <formula>"May be visited"</formula>
    </cfRule>
  </conditionalFormatting>
  <conditionalFormatting sqref="H7">
    <cfRule type="cellIs" dxfId="242" priority="39" stopIfTrue="1" operator="equal">
      <formula>"Don't visit"</formula>
    </cfRule>
  </conditionalFormatting>
  <conditionalFormatting sqref="I7">
    <cfRule type="cellIs" dxfId="241" priority="40" stopIfTrue="1" operator="greaterThan">
      <formula>G7-F7 + 0.0001</formula>
    </cfRule>
  </conditionalFormatting>
  <conditionalFormatting sqref="A8">
    <cfRule type="expression" dxfId="240" priority="41" stopIfTrue="1">
      <formula>ISBLANK(A8)</formula>
    </cfRule>
  </conditionalFormatting>
  <conditionalFormatting sqref="B8">
    <cfRule type="expression" dxfId="239" priority="42" stopIfTrue="1">
      <formula>ISBLANK(B8)</formula>
    </cfRule>
  </conditionalFormatting>
  <conditionalFormatting sqref="F8">
    <cfRule type="cellIs" dxfId="238" priority="43" stopIfTrue="1" operator="greaterThan">
      <formula>G8-$I$8</formula>
    </cfRule>
  </conditionalFormatting>
  <conditionalFormatting sqref="G8">
    <cfRule type="cellIs" dxfId="237" priority="44" stopIfTrue="1" operator="lessThan">
      <formula>F8+$I$8</formula>
    </cfRule>
  </conditionalFormatting>
  <conditionalFormatting sqref="H8">
    <cfRule type="cellIs" dxfId="236" priority="45" stopIfTrue="1" operator="equal">
      <formula>"May be visited"</formula>
    </cfRule>
  </conditionalFormatting>
  <conditionalFormatting sqref="H8">
    <cfRule type="cellIs" dxfId="235" priority="46" stopIfTrue="1" operator="equal">
      <formula>"Don't visit"</formula>
    </cfRule>
  </conditionalFormatting>
  <conditionalFormatting sqref="I8">
    <cfRule type="cellIs" dxfId="234" priority="47" stopIfTrue="1" operator="greaterThan">
      <formula>G8-F8 + 0.0001</formula>
    </cfRule>
  </conditionalFormatting>
  <conditionalFormatting sqref="A9">
    <cfRule type="expression" dxfId="233" priority="48" stopIfTrue="1">
      <formula>ISBLANK(A9)</formula>
    </cfRule>
  </conditionalFormatting>
  <conditionalFormatting sqref="B9">
    <cfRule type="expression" dxfId="232" priority="49" stopIfTrue="1">
      <formula>ISBLANK(B9)</formula>
    </cfRule>
  </conditionalFormatting>
  <conditionalFormatting sqref="F9">
    <cfRule type="cellIs" dxfId="231" priority="50" stopIfTrue="1" operator="greaterThan">
      <formula>G9-$I$9</formula>
    </cfRule>
  </conditionalFormatting>
  <conditionalFormatting sqref="G9">
    <cfRule type="cellIs" dxfId="230" priority="51" stopIfTrue="1" operator="lessThan">
      <formula>F9+$I$9</formula>
    </cfRule>
  </conditionalFormatting>
  <conditionalFormatting sqref="H9">
    <cfRule type="cellIs" dxfId="229" priority="52" stopIfTrue="1" operator="equal">
      <formula>"May be visited"</formula>
    </cfRule>
  </conditionalFormatting>
  <conditionalFormatting sqref="H9">
    <cfRule type="cellIs" dxfId="228" priority="53" stopIfTrue="1" operator="equal">
      <formula>"Don't visit"</formula>
    </cfRule>
  </conditionalFormatting>
  <conditionalFormatting sqref="I9">
    <cfRule type="cellIs" dxfId="227" priority="54" stopIfTrue="1" operator="greaterThan">
      <formula>G9-F9 + 0.0001</formula>
    </cfRule>
  </conditionalFormatting>
  <conditionalFormatting sqref="A10">
    <cfRule type="expression" dxfId="226" priority="55" stopIfTrue="1">
      <formula>ISBLANK(A10)</formula>
    </cfRule>
  </conditionalFormatting>
  <conditionalFormatting sqref="B10">
    <cfRule type="expression" dxfId="225" priority="56" stopIfTrue="1">
      <formula>ISBLANK(B10)</formula>
    </cfRule>
  </conditionalFormatting>
  <conditionalFormatting sqref="F10">
    <cfRule type="cellIs" dxfId="224" priority="57" stopIfTrue="1" operator="greaterThan">
      <formula>G10-$I$10</formula>
    </cfRule>
  </conditionalFormatting>
  <conditionalFormatting sqref="G10">
    <cfRule type="cellIs" dxfId="223" priority="58" stopIfTrue="1" operator="lessThan">
      <formula>F10+$I$10</formula>
    </cfRule>
  </conditionalFormatting>
  <conditionalFormatting sqref="H10">
    <cfRule type="cellIs" dxfId="222" priority="59" stopIfTrue="1" operator="equal">
      <formula>"May be visited"</formula>
    </cfRule>
  </conditionalFormatting>
  <conditionalFormatting sqref="H10">
    <cfRule type="cellIs" dxfId="221" priority="60" stopIfTrue="1" operator="equal">
      <formula>"Don't visit"</formula>
    </cfRule>
  </conditionalFormatting>
  <conditionalFormatting sqref="I10">
    <cfRule type="cellIs" dxfId="220" priority="61" stopIfTrue="1" operator="greaterThan">
      <formula>G10-F10 + 0.0001</formula>
    </cfRule>
  </conditionalFormatting>
  <conditionalFormatting sqref="A11">
    <cfRule type="expression" dxfId="219" priority="62" stopIfTrue="1">
      <formula>ISBLANK(A11)</formula>
    </cfRule>
  </conditionalFormatting>
  <conditionalFormatting sqref="B11">
    <cfRule type="expression" dxfId="218" priority="63" stopIfTrue="1">
      <formula>ISBLANK(B11)</formula>
    </cfRule>
  </conditionalFormatting>
  <conditionalFormatting sqref="F11">
    <cfRule type="cellIs" dxfId="217" priority="64" stopIfTrue="1" operator="greaterThan">
      <formula>G11-$I$11</formula>
    </cfRule>
  </conditionalFormatting>
  <conditionalFormatting sqref="G11">
    <cfRule type="cellIs" dxfId="216" priority="65" stopIfTrue="1" operator="lessThan">
      <formula>F11+$I$11</formula>
    </cfRule>
  </conditionalFormatting>
  <conditionalFormatting sqref="H11">
    <cfRule type="cellIs" dxfId="215" priority="66" stopIfTrue="1" operator="equal">
      <formula>"May be visited"</formula>
    </cfRule>
  </conditionalFormatting>
  <conditionalFormatting sqref="H11">
    <cfRule type="cellIs" dxfId="214" priority="67" stopIfTrue="1" operator="equal">
      <formula>"Don't visit"</formula>
    </cfRule>
  </conditionalFormatting>
  <conditionalFormatting sqref="I11">
    <cfRule type="cellIs" dxfId="213" priority="68" stopIfTrue="1" operator="greaterThan">
      <formula>G11-F11 + 0.0001</formula>
    </cfRule>
  </conditionalFormatting>
  <conditionalFormatting sqref="J3:J11">
    <cfRule type="cellIs" dxfId="212" priority="69" stopIfTrue="1" operator="lessThan">
      <formula>0</formula>
    </cfRule>
  </conditionalFormatting>
  <conditionalFormatting sqref="B2:B11">
    <cfRule type="duplicateValues" dxfId="211" priority="70"/>
  </conditionalFormatting>
  <dataValidations count="2">
    <dataValidation type="decimal" operator="greaterThan" allowBlank="1" showInputMessage="1" showErrorMessage="1" error="Please enter a nonnegative value" sqref="K2:K11" xr:uid="{313EED60-EB9D-4C9E-AB1A-0FCA3F25BE7E}">
      <formula1>-0.0001</formula1>
    </dataValidation>
    <dataValidation type="list" allowBlank="1" showInputMessage="1" showErrorMessage="1" sqref="H3:H11" xr:uid="{A84960A1-BB9E-4D5A-ACAA-D3EAEA4D1A31}">
      <formula1>"Must be visited, May be visited, Don't visit"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582C8-5354-4203-A72A-C2358182BECF}">
  <dimension ref="A1:F101"/>
  <sheetViews>
    <sheetView workbookViewId="0"/>
  </sheetViews>
  <sheetFormatPr baseColWidth="10" defaultRowHeight="14.5" x14ac:dyDescent="0.35"/>
  <cols>
    <col min="1" max="2" width="10.36328125" bestFit="1" customWidth="1"/>
    <col min="3" max="3" width="8" bestFit="1" customWidth="1"/>
    <col min="4" max="4" width="8.26953125" bestFit="1" customWidth="1"/>
    <col min="5" max="5" width="8.08984375" bestFit="1" customWidth="1"/>
    <col min="6" max="6" width="23.6328125" customWidth="1"/>
  </cols>
  <sheetData>
    <row r="1" spans="1:6" x14ac:dyDescent="0.35">
      <c r="A1" s="9" t="s">
        <v>76</v>
      </c>
      <c r="B1" s="9" t="s">
        <v>77</v>
      </c>
      <c r="C1" s="9" t="s">
        <v>78</v>
      </c>
      <c r="D1" s="9" t="s">
        <v>79</v>
      </c>
      <c r="E1" s="9" t="s">
        <v>80</v>
      </c>
      <c r="F1" s="9" t="s">
        <v>82</v>
      </c>
    </row>
    <row r="2" spans="1:6" x14ac:dyDescent="0.35">
      <c r="A2" s="11" t="s">
        <v>54</v>
      </c>
      <c r="B2" s="11" t="s">
        <v>54</v>
      </c>
      <c r="C2" s="38">
        <v>0</v>
      </c>
      <c r="D2" s="39">
        <v>0</v>
      </c>
    </row>
    <row r="3" spans="1:6" x14ac:dyDescent="0.35">
      <c r="A3" s="15" t="s">
        <v>54</v>
      </c>
      <c r="B3" s="15" t="s">
        <v>56</v>
      </c>
      <c r="C3" s="41">
        <v>103.637</v>
      </c>
      <c r="D3" s="16">
        <v>4.9305555555555554E-2</v>
      </c>
    </row>
    <row r="4" spans="1:6" x14ac:dyDescent="0.35">
      <c r="A4" s="15" t="s">
        <v>54</v>
      </c>
      <c r="B4" s="15" t="s">
        <v>58</v>
      </c>
      <c r="C4" s="42">
        <v>95.233000000000004</v>
      </c>
      <c r="D4" s="17">
        <v>4.5833333333333337E-2</v>
      </c>
    </row>
    <row r="5" spans="1:6" x14ac:dyDescent="0.35">
      <c r="A5" s="15" t="s">
        <v>54</v>
      </c>
      <c r="B5" s="15" t="s">
        <v>59</v>
      </c>
      <c r="C5" s="41">
        <v>26.196000000000002</v>
      </c>
      <c r="D5" s="16">
        <v>2.013888888888889E-2</v>
      </c>
    </row>
    <row r="6" spans="1:6" x14ac:dyDescent="0.35">
      <c r="A6" s="15" t="s">
        <v>54</v>
      </c>
      <c r="B6" s="15" t="s">
        <v>60</v>
      </c>
      <c r="C6" s="42">
        <v>57.061999999999998</v>
      </c>
      <c r="D6" s="17">
        <v>3.125E-2</v>
      </c>
    </row>
    <row r="7" spans="1:6" x14ac:dyDescent="0.35">
      <c r="A7" s="15" t="s">
        <v>54</v>
      </c>
      <c r="B7" s="15" t="s">
        <v>61</v>
      </c>
      <c r="C7" s="41">
        <v>152.255</v>
      </c>
      <c r="D7" s="16">
        <v>6.5972222222222224E-2</v>
      </c>
    </row>
    <row r="8" spans="1:6" x14ac:dyDescent="0.35">
      <c r="A8" s="15" t="s">
        <v>54</v>
      </c>
      <c r="B8" s="15" t="s">
        <v>62</v>
      </c>
      <c r="C8" s="42">
        <v>13.041</v>
      </c>
      <c r="D8" s="17">
        <v>1.2499999999999999E-2</v>
      </c>
    </row>
    <row r="9" spans="1:6" x14ac:dyDescent="0.35">
      <c r="A9" s="15" t="s">
        <v>54</v>
      </c>
      <c r="B9" s="15" t="s">
        <v>63</v>
      </c>
      <c r="C9" s="41">
        <v>176.44499999999999</v>
      </c>
      <c r="D9" s="16">
        <v>7.0833333333333331E-2</v>
      </c>
    </row>
    <row r="10" spans="1:6" x14ac:dyDescent="0.35">
      <c r="A10" s="15" t="s">
        <v>54</v>
      </c>
      <c r="B10" s="15" t="s">
        <v>64</v>
      </c>
      <c r="C10" s="42">
        <v>51.628</v>
      </c>
      <c r="D10" s="17">
        <v>2.7083333333333334E-2</v>
      </c>
    </row>
    <row r="11" spans="1:6" x14ac:dyDescent="0.35">
      <c r="A11" s="15" t="s">
        <v>54</v>
      </c>
      <c r="B11" s="15" t="s">
        <v>65</v>
      </c>
      <c r="C11" s="41">
        <v>311.15699999999998</v>
      </c>
      <c r="D11" s="16">
        <v>0.15</v>
      </c>
    </row>
    <row r="12" spans="1:6" x14ac:dyDescent="0.35">
      <c r="A12" s="15" t="s">
        <v>56</v>
      </c>
      <c r="B12" s="15" t="s">
        <v>54</v>
      </c>
      <c r="C12" s="42">
        <v>105.79900000000001</v>
      </c>
      <c r="D12" s="17">
        <v>4.9305555555555554E-2</v>
      </c>
    </row>
    <row r="13" spans="1:6" x14ac:dyDescent="0.35">
      <c r="A13" s="15" t="s">
        <v>56</v>
      </c>
      <c r="B13" s="15" t="s">
        <v>56</v>
      </c>
      <c r="C13" s="41">
        <v>0</v>
      </c>
      <c r="D13" s="16">
        <v>0</v>
      </c>
    </row>
    <row r="14" spans="1:6" x14ac:dyDescent="0.35">
      <c r="A14" s="15" t="s">
        <v>56</v>
      </c>
      <c r="B14" s="15" t="s">
        <v>58</v>
      </c>
      <c r="C14" s="42">
        <v>192.02699999999999</v>
      </c>
      <c r="D14" s="17">
        <v>7.4999999999999997E-2</v>
      </c>
    </row>
    <row r="15" spans="1:6" x14ac:dyDescent="0.35">
      <c r="A15" s="15" t="s">
        <v>56</v>
      </c>
      <c r="B15" s="15" t="s">
        <v>59</v>
      </c>
      <c r="C15" s="41">
        <v>106.041</v>
      </c>
      <c r="D15" s="16">
        <v>4.6527777777777779E-2</v>
      </c>
    </row>
    <row r="16" spans="1:6" x14ac:dyDescent="0.35">
      <c r="A16" s="15" t="s">
        <v>56</v>
      </c>
      <c r="B16" s="15" t="s">
        <v>60</v>
      </c>
      <c r="C16" s="42">
        <v>118.074</v>
      </c>
      <c r="D16" s="17">
        <v>5.2777777777777778E-2</v>
      </c>
    </row>
    <row r="17" spans="1:4" x14ac:dyDescent="0.35">
      <c r="A17" s="15" t="s">
        <v>56</v>
      </c>
      <c r="B17" s="15" t="s">
        <v>61</v>
      </c>
      <c r="C17" s="41">
        <v>226.67</v>
      </c>
      <c r="D17" s="16">
        <v>9.2361111111111116E-2</v>
      </c>
    </row>
    <row r="18" spans="1:4" x14ac:dyDescent="0.35">
      <c r="A18" s="15" t="s">
        <v>56</v>
      </c>
      <c r="B18" s="15" t="s">
        <v>62</v>
      </c>
      <c r="C18" s="42">
        <v>95.962000000000003</v>
      </c>
      <c r="D18" s="17">
        <v>3.9583333333333331E-2</v>
      </c>
    </row>
    <row r="19" spans="1:4" x14ac:dyDescent="0.35">
      <c r="A19" s="15" t="s">
        <v>56</v>
      </c>
      <c r="B19" s="15" t="s">
        <v>63</v>
      </c>
      <c r="C19" s="41">
        <v>273.23899999999998</v>
      </c>
      <c r="D19" s="16">
        <v>0.10069444444444443</v>
      </c>
    </row>
    <row r="20" spans="1:4" x14ac:dyDescent="0.35">
      <c r="A20" s="15" t="s">
        <v>56</v>
      </c>
      <c r="B20" s="15" t="s">
        <v>64</v>
      </c>
      <c r="C20" s="42">
        <v>139.137</v>
      </c>
      <c r="D20" s="17">
        <v>5.6250000000000001E-2</v>
      </c>
    </row>
    <row r="21" spans="1:4" x14ac:dyDescent="0.35">
      <c r="A21" s="15" t="s">
        <v>56</v>
      </c>
      <c r="B21" s="15" t="s">
        <v>65</v>
      </c>
      <c r="C21" s="41">
        <v>332.74099999999999</v>
      </c>
      <c r="D21" s="16">
        <v>0.17986111111111111</v>
      </c>
    </row>
    <row r="22" spans="1:4" x14ac:dyDescent="0.35">
      <c r="A22" s="15" t="s">
        <v>58</v>
      </c>
      <c r="B22" s="15" t="s">
        <v>54</v>
      </c>
      <c r="C22" s="42">
        <v>94.182000000000002</v>
      </c>
      <c r="D22" s="17">
        <v>4.2361111111111106E-2</v>
      </c>
    </row>
    <row r="23" spans="1:4" x14ac:dyDescent="0.35">
      <c r="A23" s="15" t="s">
        <v>58</v>
      </c>
      <c r="B23" s="15" t="s">
        <v>56</v>
      </c>
      <c r="C23" s="41">
        <v>189.37200000000001</v>
      </c>
      <c r="D23" s="16">
        <v>7.3611111111111113E-2</v>
      </c>
    </row>
    <row r="24" spans="1:4" x14ac:dyDescent="0.35">
      <c r="A24" s="15" t="s">
        <v>58</v>
      </c>
      <c r="B24" s="15" t="s">
        <v>58</v>
      </c>
      <c r="C24" s="42">
        <v>0</v>
      </c>
      <c r="D24" s="17">
        <v>0</v>
      </c>
    </row>
    <row r="25" spans="1:4" x14ac:dyDescent="0.35">
      <c r="A25" s="15" t="s">
        <v>58</v>
      </c>
      <c r="B25" s="15" t="s">
        <v>59</v>
      </c>
      <c r="C25" s="41">
        <v>104.456</v>
      </c>
      <c r="D25" s="16">
        <v>4.3750000000000004E-2</v>
      </c>
    </row>
    <row r="26" spans="1:4" x14ac:dyDescent="0.35">
      <c r="A26" s="15" t="s">
        <v>58</v>
      </c>
      <c r="B26" s="15" t="s">
        <v>60</v>
      </c>
      <c r="C26" s="42">
        <v>111.649</v>
      </c>
      <c r="D26" s="17">
        <v>5.2083333333333336E-2</v>
      </c>
    </row>
    <row r="27" spans="1:4" x14ac:dyDescent="0.35">
      <c r="A27" s="15" t="s">
        <v>58</v>
      </c>
      <c r="B27" s="15" t="s">
        <v>61</v>
      </c>
      <c r="C27" s="41">
        <v>100.955</v>
      </c>
      <c r="D27" s="16">
        <v>4.5138888888888888E-2</v>
      </c>
    </row>
    <row r="28" spans="1:4" x14ac:dyDescent="0.35">
      <c r="A28" s="15" t="s">
        <v>58</v>
      </c>
      <c r="B28" s="15" t="s">
        <v>62</v>
      </c>
      <c r="C28" s="42">
        <v>102.30500000000001</v>
      </c>
      <c r="D28" s="17">
        <v>4.3750000000000004E-2</v>
      </c>
    </row>
    <row r="29" spans="1:4" x14ac:dyDescent="0.35">
      <c r="A29" s="15" t="s">
        <v>58</v>
      </c>
      <c r="B29" s="15" t="s">
        <v>63</v>
      </c>
      <c r="C29" s="41">
        <v>85.980999999999995</v>
      </c>
      <c r="D29" s="16">
        <v>3.4027777777777775E-2</v>
      </c>
    </row>
    <row r="30" spans="1:4" x14ac:dyDescent="0.35">
      <c r="A30" s="15" t="s">
        <v>58</v>
      </c>
      <c r="B30" s="15" t="s">
        <v>64</v>
      </c>
      <c r="C30" s="42">
        <v>53.655000000000001</v>
      </c>
      <c r="D30" s="17">
        <v>2.4305555555555556E-2</v>
      </c>
    </row>
    <row r="31" spans="1:4" x14ac:dyDescent="0.35">
      <c r="A31" s="15" t="s">
        <v>58</v>
      </c>
      <c r="B31" s="15" t="s">
        <v>65</v>
      </c>
      <c r="C31" s="41">
        <v>269.52300000000002</v>
      </c>
      <c r="D31" s="16">
        <v>0.13680555555555554</v>
      </c>
    </row>
    <row r="32" spans="1:4" x14ac:dyDescent="0.35">
      <c r="A32" s="15" t="s">
        <v>59</v>
      </c>
      <c r="B32" s="15" t="s">
        <v>54</v>
      </c>
      <c r="C32" s="42">
        <v>27.015999999999998</v>
      </c>
      <c r="D32" s="17">
        <v>2.1527777777777781E-2</v>
      </c>
    </row>
    <row r="33" spans="1:4" x14ac:dyDescent="0.35">
      <c r="A33" s="15" t="s">
        <v>59</v>
      </c>
      <c r="B33" s="15" t="s">
        <v>56</v>
      </c>
      <c r="C33" s="41">
        <v>103.902</v>
      </c>
      <c r="D33" s="16">
        <v>4.7222222222222221E-2</v>
      </c>
    </row>
    <row r="34" spans="1:4" x14ac:dyDescent="0.35">
      <c r="A34" s="15" t="s">
        <v>59</v>
      </c>
      <c r="B34" s="15" t="s">
        <v>58</v>
      </c>
      <c r="C34" s="42">
        <v>104.307</v>
      </c>
      <c r="D34" s="17">
        <v>4.5833333333333337E-2</v>
      </c>
    </row>
    <row r="35" spans="1:4" x14ac:dyDescent="0.35">
      <c r="A35" s="15" t="s">
        <v>59</v>
      </c>
      <c r="B35" s="15" t="s">
        <v>59</v>
      </c>
      <c r="C35" s="41">
        <v>0</v>
      </c>
      <c r="D35" s="16">
        <v>0</v>
      </c>
    </row>
    <row r="36" spans="1:4" x14ac:dyDescent="0.35">
      <c r="A36" s="15" t="s">
        <v>59</v>
      </c>
      <c r="B36" s="15" t="s">
        <v>60</v>
      </c>
      <c r="C36" s="42">
        <v>36.317</v>
      </c>
      <c r="D36" s="17">
        <v>2.1527777777777781E-2</v>
      </c>
    </row>
    <row r="37" spans="1:4" x14ac:dyDescent="0.35">
      <c r="A37" s="15" t="s">
        <v>59</v>
      </c>
      <c r="B37" s="15" t="s">
        <v>61</v>
      </c>
      <c r="C37" s="41">
        <v>147.69399999999999</v>
      </c>
      <c r="D37" s="16">
        <v>6.3888888888888884E-2</v>
      </c>
    </row>
    <row r="38" spans="1:4" x14ac:dyDescent="0.35">
      <c r="A38" s="15" t="s">
        <v>59</v>
      </c>
      <c r="B38" s="15" t="s">
        <v>62</v>
      </c>
      <c r="C38" s="42">
        <v>23.82</v>
      </c>
      <c r="D38" s="17">
        <v>1.5277777777777777E-2</v>
      </c>
    </row>
    <row r="39" spans="1:4" x14ac:dyDescent="0.35">
      <c r="A39" s="15" t="s">
        <v>59</v>
      </c>
      <c r="B39" s="15" t="s">
        <v>63</v>
      </c>
      <c r="C39" s="41">
        <v>185.51900000000001</v>
      </c>
      <c r="D39" s="16">
        <v>7.1527777777777787E-2</v>
      </c>
    </row>
    <row r="40" spans="1:4" x14ac:dyDescent="0.35">
      <c r="A40" s="15" t="s">
        <v>59</v>
      </c>
      <c r="B40" s="15" t="s">
        <v>64</v>
      </c>
      <c r="C40" s="42">
        <v>51.417000000000002</v>
      </c>
      <c r="D40" s="17">
        <v>2.6388888888888889E-2</v>
      </c>
    </row>
    <row r="41" spans="1:4" x14ac:dyDescent="0.35">
      <c r="A41" s="15" t="s">
        <v>59</v>
      </c>
      <c r="B41" s="15" t="s">
        <v>65</v>
      </c>
      <c r="C41" s="41">
        <v>253.76499999999999</v>
      </c>
      <c r="D41" s="16">
        <v>0.15138888888888888</v>
      </c>
    </row>
    <row r="42" spans="1:4" x14ac:dyDescent="0.35">
      <c r="A42" s="15" t="s">
        <v>60</v>
      </c>
      <c r="B42" s="15" t="s">
        <v>54</v>
      </c>
      <c r="C42" s="42">
        <v>57.36</v>
      </c>
      <c r="D42" s="17">
        <v>3.2638888888888891E-2</v>
      </c>
    </row>
    <row r="43" spans="1:4" x14ac:dyDescent="0.35">
      <c r="A43" s="15" t="s">
        <v>60</v>
      </c>
      <c r="B43" s="15" t="s">
        <v>56</v>
      </c>
      <c r="C43" s="41">
        <v>120.458</v>
      </c>
      <c r="D43" s="16">
        <v>5.2083333333333336E-2</v>
      </c>
    </row>
    <row r="44" spans="1:4" x14ac:dyDescent="0.35">
      <c r="A44" s="15" t="s">
        <v>60</v>
      </c>
      <c r="B44" s="15" t="s">
        <v>58</v>
      </c>
      <c r="C44" s="42">
        <v>111.877</v>
      </c>
      <c r="D44" s="17">
        <v>5.347222222222222E-2</v>
      </c>
    </row>
    <row r="45" spans="1:4" x14ac:dyDescent="0.35">
      <c r="A45" s="15" t="s">
        <v>60</v>
      </c>
      <c r="B45" s="15" t="s">
        <v>59</v>
      </c>
      <c r="C45" s="41">
        <v>36.140999999999998</v>
      </c>
      <c r="D45" s="16">
        <v>2.2222222222222223E-2</v>
      </c>
    </row>
    <row r="46" spans="1:4" x14ac:dyDescent="0.35">
      <c r="A46" s="15" t="s">
        <v>60</v>
      </c>
      <c r="B46" s="15" t="s">
        <v>60</v>
      </c>
      <c r="C46" s="42">
        <v>0</v>
      </c>
      <c r="D46" s="17">
        <v>0</v>
      </c>
    </row>
    <row r="47" spans="1:4" x14ac:dyDescent="0.35">
      <c r="A47" s="15" t="s">
        <v>60</v>
      </c>
      <c r="B47" s="15" t="s">
        <v>61</v>
      </c>
      <c r="C47" s="41">
        <v>111.96899999999999</v>
      </c>
      <c r="D47" s="16">
        <v>4.7916666666666663E-2</v>
      </c>
    </row>
    <row r="48" spans="1:4" x14ac:dyDescent="0.35">
      <c r="A48" s="15" t="s">
        <v>60</v>
      </c>
      <c r="B48" s="15" t="s">
        <v>62</v>
      </c>
      <c r="C48" s="42">
        <v>56.174999999999997</v>
      </c>
      <c r="D48" s="17">
        <v>2.6388888888888889E-2</v>
      </c>
    </row>
    <row r="49" spans="1:4" x14ac:dyDescent="0.35">
      <c r="A49" s="15" t="s">
        <v>60</v>
      </c>
      <c r="B49" s="15" t="s">
        <v>63</v>
      </c>
      <c r="C49" s="41">
        <v>193.089</v>
      </c>
      <c r="D49" s="16">
        <v>7.9166666666666663E-2</v>
      </c>
    </row>
    <row r="50" spans="1:4" x14ac:dyDescent="0.35">
      <c r="A50" s="15" t="s">
        <v>60</v>
      </c>
      <c r="B50" s="15" t="s">
        <v>64</v>
      </c>
      <c r="C50" s="42">
        <v>60.496000000000002</v>
      </c>
      <c r="D50" s="17">
        <v>3.1944444444444449E-2</v>
      </c>
    </row>
    <row r="51" spans="1:4" x14ac:dyDescent="0.35">
      <c r="A51" s="15" t="s">
        <v>60</v>
      </c>
      <c r="B51" s="15" t="s">
        <v>65</v>
      </c>
      <c r="C51" s="41">
        <v>218.04</v>
      </c>
      <c r="D51" s="16">
        <v>0.13541666666666666</v>
      </c>
    </row>
    <row r="52" spans="1:4" x14ac:dyDescent="0.35">
      <c r="A52" s="15" t="s">
        <v>61</v>
      </c>
      <c r="B52" s="15" t="s">
        <v>54</v>
      </c>
      <c r="C52" s="42">
        <v>156.25200000000001</v>
      </c>
      <c r="D52" s="17">
        <v>6.805555555555555E-2</v>
      </c>
    </row>
    <row r="53" spans="1:4" x14ac:dyDescent="0.35">
      <c r="A53" s="15" t="s">
        <v>61</v>
      </c>
      <c r="B53" s="15" t="s">
        <v>56</v>
      </c>
      <c r="C53" s="41">
        <v>232.12899999999999</v>
      </c>
      <c r="D53" s="16">
        <v>9.3055555555555558E-2</v>
      </c>
    </row>
    <row r="54" spans="1:4" x14ac:dyDescent="0.35">
      <c r="A54" s="15" t="s">
        <v>61</v>
      </c>
      <c r="B54" s="15" t="s">
        <v>58</v>
      </c>
      <c r="C54" s="42">
        <v>101.863</v>
      </c>
      <c r="D54" s="17">
        <v>4.5833333333333337E-2</v>
      </c>
    </row>
    <row r="55" spans="1:4" x14ac:dyDescent="0.35">
      <c r="A55" s="15" t="s">
        <v>61</v>
      </c>
      <c r="B55" s="15" t="s">
        <v>59</v>
      </c>
      <c r="C55" s="41">
        <v>151.071</v>
      </c>
      <c r="D55" s="16">
        <v>6.5277777777777782E-2</v>
      </c>
    </row>
    <row r="56" spans="1:4" x14ac:dyDescent="0.35">
      <c r="A56" s="15" t="s">
        <v>61</v>
      </c>
      <c r="B56" s="15" t="s">
        <v>60</v>
      </c>
      <c r="C56" s="42">
        <v>115.03700000000001</v>
      </c>
      <c r="D56" s="17">
        <v>4.8611111111111112E-2</v>
      </c>
    </row>
    <row r="57" spans="1:4" x14ac:dyDescent="0.35">
      <c r="A57" s="15" t="s">
        <v>61</v>
      </c>
      <c r="B57" s="15" t="s">
        <v>61</v>
      </c>
      <c r="C57" s="41">
        <v>0</v>
      </c>
      <c r="D57" s="16">
        <v>0</v>
      </c>
    </row>
    <row r="58" spans="1:4" x14ac:dyDescent="0.35">
      <c r="A58" s="15" t="s">
        <v>61</v>
      </c>
      <c r="B58" s="15" t="s">
        <v>62</v>
      </c>
      <c r="C58" s="42">
        <v>176.65700000000001</v>
      </c>
      <c r="D58" s="17">
        <v>6.5972222222222224E-2</v>
      </c>
    </row>
    <row r="59" spans="1:4" x14ac:dyDescent="0.35">
      <c r="A59" s="15" t="s">
        <v>61</v>
      </c>
      <c r="B59" s="15" t="s">
        <v>63</v>
      </c>
      <c r="C59" s="41">
        <v>175.99100000000001</v>
      </c>
      <c r="D59" s="16">
        <v>7.2222222222222229E-2</v>
      </c>
    </row>
    <row r="60" spans="1:4" x14ac:dyDescent="0.35">
      <c r="A60" s="15" t="s">
        <v>61</v>
      </c>
      <c r="B60" s="15" t="s">
        <v>64</v>
      </c>
      <c r="C60" s="42">
        <v>120.872</v>
      </c>
      <c r="D60" s="17">
        <v>4.7222222222222221E-2</v>
      </c>
    </row>
    <row r="61" spans="1:4" x14ac:dyDescent="0.35">
      <c r="A61" s="15" t="s">
        <v>61</v>
      </c>
      <c r="B61" s="15" t="s">
        <v>65</v>
      </c>
      <c r="C61" s="41">
        <v>163.35</v>
      </c>
      <c r="D61" s="16">
        <v>9.4444444444444442E-2</v>
      </c>
    </row>
    <row r="62" spans="1:4" x14ac:dyDescent="0.35">
      <c r="A62" s="15" t="s">
        <v>62</v>
      </c>
      <c r="B62" s="15" t="s">
        <v>54</v>
      </c>
      <c r="C62" s="42">
        <v>10.849</v>
      </c>
      <c r="D62" s="17">
        <v>1.3194444444444444E-2</v>
      </c>
    </row>
    <row r="63" spans="1:4" x14ac:dyDescent="0.35">
      <c r="A63" s="15" t="s">
        <v>62</v>
      </c>
      <c r="B63" s="15" t="s">
        <v>56</v>
      </c>
      <c r="C63" s="41">
        <v>93.942999999999998</v>
      </c>
      <c r="D63" s="16">
        <v>4.027777777777778E-2</v>
      </c>
    </row>
    <row r="64" spans="1:4" x14ac:dyDescent="0.35">
      <c r="A64" s="15" t="s">
        <v>62</v>
      </c>
      <c r="B64" s="15" t="s">
        <v>58</v>
      </c>
      <c r="C64" s="42">
        <v>110.325</v>
      </c>
      <c r="D64" s="17">
        <v>4.5833333333333337E-2</v>
      </c>
    </row>
    <row r="65" spans="1:4" x14ac:dyDescent="0.35">
      <c r="A65" s="15" t="s">
        <v>62</v>
      </c>
      <c r="B65" s="15" t="s">
        <v>59</v>
      </c>
      <c r="C65" s="41">
        <v>24.155000000000001</v>
      </c>
      <c r="D65" s="16">
        <v>1.5972222222222224E-2</v>
      </c>
    </row>
    <row r="66" spans="1:4" x14ac:dyDescent="0.35">
      <c r="A66" s="15" t="s">
        <v>62</v>
      </c>
      <c r="B66" s="15" t="s">
        <v>60</v>
      </c>
      <c r="C66" s="42">
        <v>56.771999999999998</v>
      </c>
      <c r="D66" s="17">
        <v>2.7083333333333334E-2</v>
      </c>
    </row>
    <row r="67" spans="1:4" x14ac:dyDescent="0.35">
      <c r="A67" s="15" t="s">
        <v>62</v>
      </c>
      <c r="B67" s="15" t="s">
        <v>61</v>
      </c>
      <c r="C67" s="41">
        <v>160.73699999999999</v>
      </c>
      <c r="D67" s="16">
        <v>6.805555555555555E-2</v>
      </c>
    </row>
    <row r="68" spans="1:4" x14ac:dyDescent="0.35">
      <c r="A68" s="15" t="s">
        <v>62</v>
      </c>
      <c r="B68" s="15" t="s">
        <v>62</v>
      </c>
      <c r="C68" s="42">
        <v>0</v>
      </c>
      <c r="D68" s="17">
        <v>0</v>
      </c>
    </row>
    <row r="69" spans="1:4" x14ac:dyDescent="0.35">
      <c r="A69" s="15" t="s">
        <v>62</v>
      </c>
      <c r="B69" s="15" t="s">
        <v>63</v>
      </c>
      <c r="C69" s="41">
        <v>191.53700000000001</v>
      </c>
      <c r="D69" s="16">
        <v>7.1527777777777787E-2</v>
      </c>
    </row>
    <row r="70" spans="1:4" x14ac:dyDescent="0.35">
      <c r="A70" s="15" t="s">
        <v>62</v>
      </c>
      <c r="B70" s="15" t="s">
        <v>64</v>
      </c>
      <c r="C70" s="42">
        <v>57.435000000000002</v>
      </c>
      <c r="D70" s="17">
        <v>2.6388888888888889E-2</v>
      </c>
    </row>
    <row r="71" spans="1:4" x14ac:dyDescent="0.35">
      <c r="A71" s="15" t="s">
        <v>62</v>
      </c>
      <c r="B71" s="15" t="s">
        <v>65</v>
      </c>
      <c r="C71" s="41">
        <v>274.22000000000003</v>
      </c>
      <c r="D71" s="16">
        <v>0.15694444444444444</v>
      </c>
    </row>
    <row r="72" spans="1:4" x14ac:dyDescent="0.35">
      <c r="A72" s="15" t="s">
        <v>63</v>
      </c>
      <c r="B72" s="15" t="s">
        <v>54</v>
      </c>
      <c r="C72" s="42">
        <v>175.28100000000001</v>
      </c>
      <c r="D72" s="17">
        <v>7.0833333333333331E-2</v>
      </c>
    </row>
    <row r="73" spans="1:4" x14ac:dyDescent="0.35">
      <c r="A73" s="15" t="s">
        <v>63</v>
      </c>
      <c r="B73" s="15" t="s">
        <v>56</v>
      </c>
      <c r="C73" s="41">
        <v>270.471</v>
      </c>
      <c r="D73" s="16">
        <v>0.1013888888888889</v>
      </c>
    </row>
    <row r="74" spans="1:4" x14ac:dyDescent="0.35">
      <c r="A74" s="15" t="s">
        <v>63</v>
      </c>
      <c r="B74" s="15" t="s">
        <v>58</v>
      </c>
      <c r="C74" s="42">
        <v>84.347999999999999</v>
      </c>
      <c r="D74" s="17">
        <v>3.5416666666666666E-2</v>
      </c>
    </row>
    <row r="75" spans="1:4" x14ac:dyDescent="0.35">
      <c r="A75" s="15" t="s">
        <v>63</v>
      </c>
      <c r="B75" s="15" t="s">
        <v>59</v>
      </c>
      <c r="C75" s="41">
        <v>185.55500000000001</v>
      </c>
      <c r="D75" s="16">
        <v>7.1527777777777787E-2</v>
      </c>
    </row>
    <row r="76" spans="1:4" x14ac:dyDescent="0.35">
      <c r="A76" s="15" t="s">
        <v>63</v>
      </c>
      <c r="B76" s="15" t="s">
        <v>60</v>
      </c>
      <c r="C76" s="42">
        <v>192.74799999999999</v>
      </c>
      <c r="D76" s="17">
        <v>8.0555555555555561E-2</v>
      </c>
    </row>
    <row r="77" spans="1:4" x14ac:dyDescent="0.35">
      <c r="A77" s="15" t="s">
        <v>63</v>
      </c>
      <c r="B77" s="15" t="s">
        <v>61</v>
      </c>
      <c r="C77" s="41">
        <v>175.74</v>
      </c>
      <c r="D77" s="16">
        <v>7.2222222222222229E-2</v>
      </c>
    </row>
    <row r="78" spans="1:4" x14ac:dyDescent="0.35">
      <c r="A78" s="15" t="s">
        <v>63</v>
      </c>
      <c r="B78" s="15" t="s">
        <v>62</v>
      </c>
      <c r="C78" s="42">
        <v>183.404</v>
      </c>
      <c r="D78" s="17">
        <v>7.1527777777777787E-2</v>
      </c>
    </row>
    <row r="79" spans="1:4" x14ac:dyDescent="0.35">
      <c r="A79" s="15" t="s">
        <v>63</v>
      </c>
      <c r="B79" s="15" t="s">
        <v>63</v>
      </c>
      <c r="C79" s="41">
        <v>0</v>
      </c>
      <c r="D79" s="16">
        <v>0</v>
      </c>
    </row>
    <row r="80" spans="1:4" x14ac:dyDescent="0.35">
      <c r="A80" s="15" t="s">
        <v>63</v>
      </c>
      <c r="B80" s="15" t="s">
        <v>64</v>
      </c>
      <c r="C80" s="42">
        <v>134.75399999999999</v>
      </c>
      <c r="D80" s="17">
        <v>5.2777777777777778E-2</v>
      </c>
    </row>
    <row r="81" spans="1:4" x14ac:dyDescent="0.35">
      <c r="A81" s="15" t="s">
        <v>63</v>
      </c>
      <c r="B81" s="15" t="s">
        <v>65</v>
      </c>
      <c r="C81" s="41">
        <v>344.30799999999999</v>
      </c>
      <c r="D81" s="16">
        <v>0.16458333333333333</v>
      </c>
    </row>
    <row r="82" spans="1:4" x14ac:dyDescent="0.35">
      <c r="A82" s="15" t="s">
        <v>64</v>
      </c>
      <c r="B82" s="15" t="s">
        <v>54</v>
      </c>
      <c r="C82" s="42">
        <v>53.280999999999999</v>
      </c>
      <c r="D82" s="17">
        <v>2.8472222222222222E-2</v>
      </c>
    </row>
    <row r="83" spans="1:4" x14ac:dyDescent="0.35">
      <c r="A83" s="15" t="s">
        <v>64</v>
      </c>
      <c r="B83" s="15" t="s">
        <v>56</v>
      </c>
      <c r="C83" s="41">
        <v>137.84</v>
      </c>
      <c r="D83" s="16">
        <v>5.6944444444444443E-2</v>
      </c>
    </row>
    <row r="84" spans="1:4" x14ac:dyDescent="0.35">
      <c r="A84" s="15" t="s">
        <v>64</v>
      </c>
      <c r="B84" s="15" t="s">
        <v>58</v>
      </c>
      <c r="C84" s="42">
        <v>53.22</v>
      </c>
      <c r="D84" s="17">
        <v>2.5694444444444447E-2</v>
      </c>
    </row>
    <row r="85" spans="1:4" x14ac:dyDescent="0.35">
      <c r="A85" s="15" t="s">
        <v>64</v>
      </c>
      <c r="B85" s="15" t="s">
        <v>59</v>
      </c>
      <c r="C85" s="41">
        <v>52.923999999999999</v>
      </c>
      <c r="D85" s="16">
        <v>2.7083333333333334E-2</v>
      </c>
    </row>
    <row r="86" spans="1:4" x14ac:dyDescent="0.35">
      <c r="A86" s="15" t="s">
        <v>64</v>
      </c>
      <c r="B86" s="15" t="s">
        <v>60</v>
      </c>
      <c r="C86" s="42">
        <v>59.28</v>
      </c>
      <c r="D86" s="17">
        <v>3.1944444444444449E-2</v>
      </c>
    </row>
    <row r="87" spans="1:4" x14ac:dyDescent="0.35">
      <c r="A87" s="15" t="s">
        <v>64</v>
      </c>
      <c r="B87" s="15" t="s">
        <v>61</v>
      </c>
      <c r="C87" s="41">
        <v>119.789</v>
      </c>
      <c r="D87" s="16">
        <v>4.6527777777777779E-2</v>
      </c>
    </row>
    <row r="88" spans="1:4" x14ac:dyDescent="0.35">
      <c r="A88" s="15" t="s">
        <v>64</v>
      </c>
      <c r="B88" s="15" t="s">
        <v>62</v>
      </c>
      <c r="C88" s="42">
        <v>57.908000000000001</v>
      </c>
      <c r="D88" s="17">
        <v>2.6388888888888889E-2</v>
      </c>
    </row>
    <row r="89" spans="1:4" x14ac:dyDescent="0.35">
      <c r="A89" s="15" t="s">
        <v>64</v>
      </c>
      <c r="B89" s="15" t="s">
        <v>63</v>
      </c>
      <c r="C89" s="41">
        <v>134.43199999999999</v>
      </c>
      <c r="D89" s="16">
        <v>5.0694444444444452E-2</v>
      </c>
    </row>
    <row r="90" spans="1:4" x14ac:dyDescent="0.35">
      <c r="A90" s="15" t="s">
        <v>64</v>
      </c>
      <c r="B90" s="15" t="s">
        <v>64</v>
      </c>
      <c r="C90" s="42">
        <v>0</v>
      </c>
      <c r="D90" s="17">
        <v>0</v>
      </c>
    </row>
    <row r="91" spans="1:4" x14ac:dyDescent="0.35">
      <c r="A91" s="15" t="s">
        <v>64</v>
      </c>
      <c r="B91" s="15" t="s">
        <v>65</v>
      </c>
      <c r="C91" s="41">
        <v>288.35700000000003</v>
      </c>
      <c r="D91" s="16">
        <v>0.13819444444444443</v>
      </c>
    </row>
    <row r="92" spans="1:4" x14ac:dyDescent="0.35">
      <c r="A92" s="15" t="s">
        <v>65</v>
      </c>
      <c r="B92" s="15" t="s">
        <v>54</v>
      </c>
      <c r="C92" s="42">
        <v>312.42899999999997</v>
      </c>
      <c r="D92" s="17">
        <v>0.15138888888888888</v>
      </c>
    </row>
    <row r="93" spans="1:4" x14ac:dyDescent="0.35">
      <c r="A93" s="15" t="s">
        <v>65</v>
      </c>
      <c r="B93" s="15" t="s">
        <v>56</v>
      </c>
      <c r="C93" s="41">
        <v>334.05200000000002</v>
      </c>
      <c r="D93" s="16">
        <v>0.17986111111111111</v>
      </c>
    </row>
    <row r="94" spans="1:4" x14ac:dyDescent="0.35">
      <c r="A94" s="15" t="s">
        <v>65</v>
      </c>
      <c r="B94" s="15" t="s">
        <v>58</v>
      </c>
      <c r="C94" s="42">
        <v>270.887</v>
      </c>
      <c r="D94" s="17">
        <v>0.13749999999999998</v>
      </c>
    </row>
    <row r="95" spans="1:4" x14ac:dyDescent="0.35">
      <c r="A95" s="15" t="s">
        <v>65</v>
      </c>
      <c r="B95" s="15" t="s">
        <v>59</v>
      </c>
      <c r="C95" s="41">
        <v>252.994</v>
      </c>
      <c r="D95" s="16">
        <v>0.15138888888888888</v>
      </c>
    </row>
    <row r="96" spans="1:4" x14ac:dyDescent="0.35">
      <c r="A96" s="15" t="s">
        <v>65</v>
      </c>
      <c r="B96" s="15" t="s">
        <v>60</v>
      </c>
      <c r="C96" s="42">
        <v>216.96</v>
      </c>
      <c r="D96" s="17">
        <v>0.13472222222222222</v>
      </c>
    </row>
    <row r="97" spans="1:4" x14ac:dyDescent="0.35">
      <c r="A97" s="15" t="s">
        <v>65</v>
      </c>
      <c r="B97" s="15" t="s">
        <v>61</v>
      </c>
      <c r="C97" s="41">
        <v>162.87299999999999</v>
      </c>
      <c r="D97" s="16">
        <v>9.375E-2</v>
      </c>
    </row>
    <row r="98" spans="1:4" x14ac:dyDescent="0.35">
      <c r="A98" s="15" t="s">
        <v>65</v>
      </c>
      <c r="B98" s="15" t="s">
        <v>62</v>
      </c>
      <c r="C98" s="42">
        <v>319.75599999999997</v>
      </c>
      <c r="D98" s="17">
        <v>0.15069444444444444</v>
      </c>
    </row>
    <row r="99" spans="1:4" x14ac:dyDescent="0.35">
      <c r="A99" s="15" t="s">
        <v>65</v>
      </c>
      <c r="B99" s="15" t="s">
        <v>63</v>
      </c>
      <c r="C99" s="41">
        <v>345.01499999999999</v>
      </c>
      <c r="D99" s="16">
        <v>0.16388888888888889</v>
      </c>
    </row>
    <row r="100" spans="1:4" x14ac:dyDescent="0.35">
      <c r="A100" s="15" t="s">
        <v>65</v>
      </c>
      <c r="B100" s="15" t="s">
        <v>64</v>
      </c>
      <c r="C100" s="42">
        <v>289.89600000000002</v>
      </c>
      <c r="D100" s="17">
        <v>0.13958333333333334</v>
      </c>
    </row>
    <row r="101" spans="1:4" x14ac:dyDescent="0.35">
      <c r="A101" s="13" t="s">
        <v>65</v>
      </c>
      <c r="B101" s="13" t="s">
        <v>65</v>
      </c>
      <c r="C101" s="40">
        <v>0</v>
      </c>
      <c r="D101" s="1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4555-17E0-4E33-8ED7-E3FC6CBAA6DD}">
  <dimension ref="A1:M3"/>
  <sheetViews>
    <sheetView topLeftCell="B1" workbookViewId="0">
      <selection activeCell="E3" sqref="E3"/>
    </sheetView>
  </sheetViews>
  <sheetFormatPr baseColWidth="10" defaultRowHeight="14.5" x14ac:dyDescent="0.35"/>
  <cols>
    <col min="1" max="1" width="12.81640625" bestFit="1" customWidth="1"/>
    <col min="2" max="2" width="11" bestFit="1" customWidth="1"/>
    <col min="3" max="3" width="7.90625" bestFit="1" customWidth="1"/>
    <col min="4" max="4" width="15.90625" bestFit="1" customWidth="1"/>
    <col min="5" max="5" width="19.1796875" bestFit="1" customWidth="1"/>
    <col min="6" max="6" width="16.90625" bestFit="1" customWidth="1"/>
    <col min="7" max="7" width="12.1796875" bestFit="1" customWidth="1"/>
    <col min="8" max="8" width="14.1796875" bestFit="1" customWidth="1"/>
    <col min="9" max="9" width="15.08984375" bestFit="1" customWidth="1"/>
    <col min="10" max="10" width="16.453125" bestFit="1" customWidth="1"/>
    <col min="11" max="11" width="12" bestFit="1" customWidth="1"/>
    <col min="12" max="12" width="12.81640625" hidden="1" customWidth="1"/>
    <col min="13" max="13" width="16.90625" bestFit="1" customWidth="1"/>
  </cols>
  <sheetData>
    <row r="1" spans="1:13" x14ac:dyDescent="0.35">
      <c r="A1" s="9" t="s">
        <v>83</v>
      </c>
      <c r="B1" s="9" t="s">
        <v>84</v>
      </c>
      <c r="C1" s="9" t="s">
        <v>85</v>
      </c>
      <c r="D1" s="9" t="s">
        <v>86</v>
      </c>
      <c r="E1" s="9" t="s">
        <v>87</v>
      </c>
      <c r="F1" s="9" t="s">
        <v>88</v>
      </c>
      <c r="G1" s="9" t="s">
        <v>89</v>
      </c>
      <c r="H1" s="9" t="s">
        <v>90</v>
      </c>
      <c r="I1" s="9" t="s">
        <v>91</v>
      </c>
      <c r="J1" s="9" t="s">
        <v>92</v>
      </c>
      <c r="K1" s="9" t="s">
        <v>93</v>
      </c>
      <c r="L1" s="9" t="s">
        <v>94</v>
      </c>
      <c r="M1" s="9" t="s">
        <v>95</v>
      </c>
    </row>
    <row r="2" spans="1:13" ht="15" thickBot="1" x14ac:dyDescent="0.4">
      <c r="A2" s="66" t="s">
        <v>54</v>
      </c>
      <c r="B2" s="62" t="s">
        <v>96</v>
      </c>
      <c r="C2" s="62">
        <v>2500</v>
      </c>
      <c r="D2" s="63">
        <v>150</v>
      </c>
      <c r="E2" s="63">
        <v>0.1</v>
      </c>
      <c r="F2" s="63">
        <v>1</v>
      </c>
      <c r="G2" s="63">
        <v>1000</v>
      </c>
      <c r="H2" s="64">
        <v>0.33333333333333331</v>
      </c>
      <c r="I2" s="65">
        <v>0.375</v>
      </c>
      <c r="J2" s="65">
        <v>0.41666666666666669</v>
      </c>
      <c r="K2" s="62" t="s">
        <v>54</v>
      </c>
      <c r="L2" s="67">
        <f>IFERROR(MATCH(K2,'1.Locations'!$B$2:$B$2,0) - 1," ")</f>
        <v>0</v>
      </c>
      <c r="M2" s="62">
        <v>5</v>
      </c>
    </row>
    <row r="3" spans="1:13" ht="15" thickTop="1" x14ac:dyDescent="0.35"/>
  </sheetData>
  <dataValidations count="6">
    <dataValidation type="decimal" operator="greaterThan" allowBlank="1" showInputMessage="1" showErrorMessage="1" error="Please enter a nonnegative value" sqref="C2" xr:uid="{2D689547-0132-4864-BF78-010442D756D3}">
      <formula1>-0.0001</formula1>
    </dataValidation>
    <dataValidation type="decimal" operator="greaterThan" allowBlank="1" showInputMessage="1" showErrorMessage="1" error="Please enter a nonnegative value" sqref="D2" xr:uid="{DEDC487C-4283-4273-8649-82F7FA7D262A}">
      <formula1>-0.0001</formula1>
    </dataValidation>
    <dataValidation type="decimal" operator="greaterThan" allowBlank="1" showInputMessage="1" showErrorMessage="1" error="Please enter a nonnegative value" sqref="E2" xr:uid="{8064CFDA-9105-4FBD-8226-BD2AB260039F}">
      <formula1>-0.0001</formula1>
    </dataValidation>
    <dataValidation type="decimal" operator="greaterThan" allowBlank="1" showInputMessage="1" showErrorMessage="1" error="Please enter a positive value" sqref="F2" xr:uid="{72787D92-6526-40EA-B954-5C4A78667C9D}">
      <formula1>0</formula1>
    </dataValidation>
    <dataValidation type="whole" operator="greaterThan" allowBlank="1" showInputMessage="1" showErrorMessage="1" error="Please enter a nonnegative integer value" sqref="G2" xr:uid="{3C595DD8-2C60-4822-9402-117C3FE4017A}">
      <formula1>-1</formula1>
    </dataValidation>
    <dataValidation type="decimal" operator="greaterThan" allowBlank="1" showInputMessage="1" showErrorMessage="1" error="Please enter a positive value" sqref="J2" xr:uid="{A385247C-FB2C-4364-A040-73F96D3B03DA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arning" error="Please select a value from the list available in the selected cell." xr:uid="{C88532DF-8880-4E24-9CF1-4C71AF916225}">
          <x14:formula1>
            <xm:f>'1.Locations'!$B$2:$B$2</xm:f>
          </x14:formula1>
          <xm:sqref>K2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D2636-2555-4EE6-993C-8B5726FF8BED}">
  <dimension ref="A1:CF17"/>
  <sheetViews>
    <sheetView topLeftCell="AR1" workbookViewId="0"/>
  </sheetViews>
  <sheetFormatPr baseColWidth="10" defaultRowHeight="14.5" x14ac:dyDescent="0.35"/>
  <cols>
    <col min="1" max="1" width="14.08984375" bestFit="1" customWidth="1"/>
    <col min="2" max="2" width="13.08984375" bestFit="1" customWidth="1"/>
    <col min="3" max="3" width="10.1796875" hidden="1" customWidth="1"/>
    <col min="4" max="4" width="10.36328125" hidden="1" customWidth="1"/>
    <col min="5" max="5" width="11.7265625" hidden="1" customWidth="1"/>
    <col min="6" max="6" width="15.90625" bestFit="1" customWidth="1"/>
    <col min="8" max="8" width="10.54296875" bestFit="1" customWidth="1"/>
    <col min="9" max="9" width="13.7265625" bestFit="1" customWidth="1"/>
    <col min="10" max="10" width="12.1796875" bestFit="1" customWidth="1"/>
    <col min="11" max="11" width="13.453125" bestFit="1" customWidth="1"/>
    <col min="12" max="12" width="13.453125" hidden="1" customWidth="1"/>
    <col min="13" max="13" width="14.6328125" hidden="1" customWidth="1"/>
    <col min="14" max="14" width="16.36328125" hidden="1" customWidth="1"/>
    <col min="15" max="15" width="17.36328125" hidden="1" customWidth="1"/>
    <col min="16" max="16" width="4.81640625" bestFit="1" customWidth="1"/>
    <col min="18" max="18" width="9.90625" bestFit="1" customWidth="1"/>
    <col min="19" max="19" width="13.08984375" bestFit="1" customWidth="1"/>
    <col min="20" max="20" width="10.1796875" hidden="1" customWidth="1"/>
    <col min="21" max="21" width="10.36328125" hidden="1" customWidth="1"/>
    <col min="22" max="22" width="11.7265625" hidden="1" customWidth="1"/>
    <col min="23" max="23" width="15.90625" bestFit="1" customWidth="1"/>
    <col min="25" max="25" width="10.54296875" bestFit="1" customWidth="1"/>
    <col min="26" max="26" width="13.7265625" bestFit="1" customWidth="1"/>
    <col min="27" max="27" width="12.1796875" bestFit="1" customWidth="1"/>
    <col min="28" max="28" width="13.453125" bestFit="1" customWidth="1"/>
    <col min="29" max="29" width="13.453125" hidden="1" customWidth="1"/>
    <col min="30" max="30" width="14.6328125" hidden="1" customWidth="1"/>
    <col min="31" max="31" width="16.36328125" hidden="1" customWidth="1"/>
    <col min="32" max="32" width="17.36328125" hidden="1" customWidth="1"/>
    <col min="33" max="33" width="4.81640625" bestFit="1" customWidth="1"/>
    <col min="35" max="35" width="9.90625" bestFit="1" customWidth="1"/>
    <col min="36" max="36" width="13.08984375" bestFit="1" customWidth="1"/>
    <col min="37" max="37" width="10.1796875" hidden="1" customWidth="1"/>
    <col min="38" max="38" width="10.36328125" hidden="1" customWidth="1"/>
    <col min="39" max="39" width="11.7265625" hidden="1" customWidth="1"/>
    <col min="40" max="40" width="15.90625" bestFit="1" customWidth="1"/>
    <col min="42" max="42" width="10.54296875" bestFit="1" customWidth="1"/>
    <col min="43" max="43" width="13.7265625" bestFit="1" customWidth="1"/>
    <col min="44" max="44" width="12.1796875" bestFit="1" customWidth="1"/>
    <col min="45" max="45" width="13.453125" bestFit="1" customWidth="1"/>
    <col min="46" max="46" width="13.453125" hidden="1" customWidth="1"/>
    <col min="47" max="47" width="14.6328125" hidden="1" customWidth="1"/>
    <col min="48" max="48" width="16.36328125" hidden="1" customWidth="1"/>
    <col min="49" max="49" width="17.36328125" hidden="1" customWidth="1"/>
    <col min="50" max="50" width="4.81640625" bestFit="1" customWidth="1"/>
    <col min="52" max="52" width="9.90625" bestFit="1" customWidth="1"/>
    <col min="53" max="53" width="13.08984375" bestFit="1" customWidth="1"/>
    <col min="54" max="54" width="10.1796875" hidden="1" customWidth="1"/>
    <col min="55" max="55" width="10.36328125" hidden="1" customWidth="1"/>
    <col min="56" max="56" width="11.7265625" hidden="1" customWidth="1"/>
    <col min="57" max="57" width="15.90625" bestFit="1" customWidth="1"/>
    <col min="59" max="59" width="10.54296875" bestFit="1" customWidth="1"/>
    <col min="60" max="60" width="13.7265625" bestFit="1" customWidth="1"/>
    <col min="61" max="61" width="12.1796875" bestFit="1" customWidth="1"/>
    <col min="62" max="62" width="13.453125" bestFit="1" customWidth="1"/>
    <col min="63" max="63" width="13.453125" hidden="1" customWidth="1"/>
    <col min="64" max="64" width="14.6328125" hidden="1" customWidth="1"/>
    <col min="65" max="65" width="16.36328125" hidden="1" customWidth="1"/>
    <col min="66" max="66" width="17.36328125" hidden="1" customWidth="1"/>
    <col min="67" max="67" width="4.81640625" bestFit="1" customWidth="1"/>
    <col min="69" max="69" width="9.90625" bestFit="1" customWidth="1"/>
    <col min="70" max="70" width="13.08984375" bestFit="1" customWidth="1"/>
    <col min="71" max="71" width="10.1796875" hidden="1" customWidth="1"/>
    <col min="72" max="72" width="10.36328125" hidden="1" customWidth="1"/>
    <col min="73" max="73" width="11.7265625" hidden="1" customWidth="1"/>
    <col min="74" max="74" width="15.90625" bestFit="1" customWidth="1"/>
    <col min="76" max="76" width="10.54296875" bestFit="1" customWidth="1"/>
    <col min="77" max="77" width="13.7265625" bestFit="1" customWidth="1"/>
    <col min="78" max="78" width="12.1796875" bestFit="1" customWidth="1"/>
    <col min="79" max="79" width="13.453125" bestFit="1" customWidth="1"/>
    <col min="80" max="80" width="13.453125" hidden="1" customWidth="1"/>
    <col min="81" max="81" width="14.6328125" hidden="1" customWidth="1"/>
    <col min="82" max="82" width="16.36328125" hidden="1" customWidth="1"/>
    <col min="83" max="83" width="17.36328125" hidden="1" customWidth="1"/>
    <col min="84" max="84" width="4.81640625" bestFit="1" customWidth="1"/>
  </cols>
  <sheetData>
    <row r="1" spans="1:84" s="9" customFormat="1" x14ac:dyDescent="0.35">
      <c r="A1" s="9" t="s">
        <v>97</v>
      </c>
      <c r="B1" s="59">
        <f ca="1">+I3+Z3+AQ3+BH3+BY3</f>
        <v>-874.10529999999994</v>
      </c>
    </row>
    <row r="2" spans="1:84" s="9" customForma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</row>
    <row r="3" spans="1:84" s="9" customFormat="1" x14ac:dyDescent="0.35">
      <c r="A3" s="9" t="s">
        <v>109</v>
      </c>
      <c r="B3" s="9" t="s">
        <v>113</v>
      </c>
      <c r="F3" s="9" t="s">
        <v>110</v>
      </c>
      <c r="G3" s="60">
        <f>COUNTA(B6:B15)</f>
        <v>2</v>
      </c>
      <c r="H3" s="9" t="s">
        <v>111</v>
      </c>
      <c r="I3" s="61">
        <f ca="1">INDEX(K5:K15,G3 + 1)-(INDEX(F5:$F$15,G3+ 1) * '3.Vehicles'!E2)- IF(INDIRECT("G3") &gt; 1, INDIRECT("'3.Vehicles'!D2"), 0)</f>
        <v>-152.38900000000001</v>
      </c>
      <c r="R3" s="9" t="s">
        <v>109</v>
      </c>
      <c r="S3" s="9" t="s">
        <v>114</v>
      </c>
      <c r="W3" s="9" t="s">
        <v>110</v>
      </c>
      <c r="X3" s="60">
        <f>COUNTA(S6:S15)</f>
        <v>2</v>
      </c>
      <c r="Y3" s="9" t="s">
        <v>111</v>
      </c>
      <c r="Z3" s="61">
        <f ca="1">INDEX(AB5:AB15,X3 + 1)-(INDEX(W5:$W$15,X3+ 1) * '3.Vehicles'!E2)- IF(INDIRECT("X3") &gt; 1, INDIRECT("'3.Vehicles'!D2"), 0)</f>
        <v>-155.3212</v>
      </c>
      <c r="AI3" s="9" t="s">
        <v>109</v>
      </c>
      <c r="AJ3" s="9" t="s">
        <v>115</v>
      </c>
      <c r="AN3" s="9" t="s">
        <v>110</v>
      </c>
      <c r="AO3" s="60">
        <f>COUNTA(AJ6:AJ15)</f>
        <v>4</v>
      </c>
      <c r="AP3" s="9" t="s">
        <v>111</v>
      </c>
      <c r="AQ3" s="61">
        <f ca="1">INDEX(AS5:AS15,AO3 + 1)-(INDEX(AN5:$AN$15,AO3+ 1) * '3.Vehicles'!E2)- IF(INDIRECT("AO3") &gt; 1, INDIRECT("'3.Vehicles'!D2"), 0)</f>
        <v>-186.459</v>
      </c>
      <c r="AZ3" s="9" t="s">
        <v>109</v>
      </c>
      <c r="BA3" s="9" t="s">
        <v>116</v>
      </c>
      <c r="BE3" s="9" t="s">
        <v>110</v>
      </c>
      <c r="BF3" s="60">
        <f>COUNTA(BA6:BA15)</f>
        <v>2</v>
      </c>
      <c r="BG3" s="9" t="s">
        <v>111</v>
      </c>
      <c r="BH3" s="61">
        <f ca="1">INDEX(BJ5:BJ15,BF3 + 1)-(INDEX(BE5:$BE$15,BF3+ 1) * '3.Vehicles'!E2)- IF(INDIRECT("BF3") &gt; 1, INDIRECT("'3.Vehicles'!D2"), 0)</f>
        <v>-170.9436</v>
      </c>
      <c r="BQ3" s="9" t="s">
        <v>109</v>
      </c>
      <c r="BR3" s="9" t="s">
        <v>117</v>
      </c>
      <c r="BV3" s="9" t="s">
        <v>110</v>
      </c>
      <c r="BW3" s="60">
        <f>COUNTA(BR6:BR15)</f>
        <v>4</v>
      </c>
      <c r="BX3" s="9" t="s">
        <v>111</v>
      </c>
      <c r="BY3" s="61">
        <f ca="1">INDEX(CA5:CA15,BW3 + 1)-(INDEX(BV5:$BV$15,BW3+ 1) * '3.Vehicles'!E2)- IF(INDIRECT("BW3") &gt; 1, INDIRECT("'3.Vehicles'!D2"), 0)</f>
        <v>-208.99250000000001</v>
      </c>
    </row>
    <row r="4" spans="1:84" s="9" customFormat="1" x14ac:dyDescent="0.35">
      <c r="A4" s="9" t="s">
        <v>98</v>
      </c>
      <c r="B4" s="9" t="s">
        <v>99</v>
      </c>
      <c r="C4" s="9" t="s">
        <v>42</v>
      </c>
      <c r="D4" s="9" t="s">
        <v>45</v>
      </c>
      <c r="E4" s="9" t="s">
        <v>46</v>
      </c>
      <c r="F4" s="9" t="s">
        <v>100</v>
      </c>
      <c r="G4" s="9" t="s">
        <v>101</v>
      </c>
      <c r="H4" s="9" t="s">
        <v>102</v>
      </c>
      <c r="I4" s="9" t="s">
        <v>103</v>
      </c>
      <c r="J4" s="9" t="s">
        <v>104</v>
      </c>
      <c r="K4" s="9" t="s">
        <v>105</v>
      </c>
      <c r="L4" s="9" t="s">
        <v>51</v>
      </c>
      <c r="M4" s="9" t="s">
        <v>52</v>
      </c>
      <c r="N4" s="9" t="s">
        <v>106</v>
      </c>
      <c r="O4" s="9" t="s">
        <v>107</v>
      </c>
      <c r="P4" s="9" t="s">
        <v>108</v>
      </c>
      <c r="R4" s="9" t="s">
        <v>98</v>
      </c>
      <c r="S4" s="9" t="s">
        <v>99</v>
      </c>
      <c r="T4" s="9" t="s">
        <v>42</v>
      </c>
      <c r="U4" s="9" t="s">
        <v>45</v>
      </c>
      <c r="V4" s="9" t="s">
        <v>46</v>
      </c>
      <c r="W4" s="9" t="s">
        <v>100</v>
      </c>
      <c r="X4" s="9" t="s">
        <v>101</v>
      </c>
      <c r="Y4" s="9" t="s">
        <v>102</v>
      </c>
      <c r="Z4" s="9" t="s">
        <v>103</v>
      </c>
      <c r="AA4" s="9" t="s">
        <v>104</v>
      </c>
      <c r="AB4" s="9" t="s">
        <v>105</v>
      </c>
      <c r="AC4" s="9" t="s">
        <v>51</v>
      </c>
      <c r="AD4" s="9" t="s">
        <v>52</v>
      </c>
      <c r="AE4" s="9" t="s">
        <v>106</v>
      </c>
      <c r="AF4" s="9" t="s">
        <v>107</v>
      </c>
      <c r="AG4" s="9" t="s">
        <v>108</v>
      </c>
      <c r="AI4" s="9" t="s">
        <v>98</v>
      </c>
      <c r="AJ4" s="9" t="s">
        <v>99</v>
      </c>
      <c r="AK4" s="9" t="s">
        <v>42</v>
      </c>
      <c r="AL4" s="9" t="s">
        <v>45</v>
      </c>
      <c r="AM4" s="9" t="s">
        <v>46</v>
      </c>
      <c r="AN4" s="9" t="s">
        <v>100</v>
      </c>
      <c r="AO4" s="9" t="s">
        <v>101</v>
      </c>
      <c r="AP4" s="9" t="s">
        <v>102</v>
      </c>
      <c r="AQ4" s="9" t="s">
        <v>103</v>
      </c>
      <c r="AR4" s="9" t="s">
        <v>104</v>
      </c>
      <c r="AS4" s="9" t="s">
        <v>105</v>
      </c>
      <c r="AT4" s="9" t="s">
        <v>51</v>
      </c>
      <c r="AU4" s="9" t="s">
        <v>52</v>
      </c>
      <c r="AV4" s="9" t="s">
        <v>106</v>
      </c>
      <c r="AW4" s="9" t="s">
        <v>107</v>
      </c>
      <c r="AX4" s="9" t="s">
        <v>108</v>
      </c>
      <c r="AZ4" s="9" t="s">
        <v>98</v>
      </c>
      <c r="BA4" s="9" t="s">
        <v>99</v>
      </c>
      <c r="BB4" s="9" t="s">
        <v>42</v>
      </c>
      <c r="BC4" s="9" t="s">
        <v>45</v>
      </c>
      <c r="BD4" s="9" t="s">
        <v>46</v>
      </c>
      <c r="BE4" s="9" t="s">
        <v>100</v>
      </c>
      <c r="BF4" s="9" t="s">
        <v>101</v>
      </c>
      <c r="BG4" s="9" t="s">
        <v>102</v>
      </c>
      <c r="BH4" s="9" t="s">
        <v>103</v>
      </c>
      <c r="BI4" s="9" t="s">
        <v>104</v>
      </c>
      <c r="BJ4" s="9" t="s">
        <v>105</v>
      </c>
      <c r="BK4" s="9" t="s">
        <v>51</v>
      </c>
      <c r="BL4" s="9" t="s">
        <v>52</v>
      </c>
      <c r="BM4" s="9" t="s">
        <v>106</v>
      </c>
      <c r="BN4" s="9" t="s">
        <v>107</v>
      </c>
      <c r="BO4" s="9" t="s">
        <v>108</v>
      </c>
      <c r="BQ4" s="9" t="s">
        <v>98</v>
      </c>
      <c r="BR4" s="9" t="s">
        <v>99</v>
      </c>
      <c r="BS4" s="9" t="s">
        <v>42</v>
      </c>
      <c r="BT4" s="9" t="s">
        <v>45</v>
      </c>
      <c r="BU4" s="9" t="s">
        <v>46</v>
      </c>
      <c r="BV4" s="9" t="s">
        <v>100</v>
      </c>
      <c r="BW4" s="9" t="s">
        <v>101</v>
      </c>
      <c r="BX4" s="9" t="s">
        <v>102</v>
      </c>
      <c r="BY4" s="9" t="s">
        <v>103</v>
      </c>
      <c r="BZ4" s="9" t="s">
        <v>104</v>
      </c>
      <c r="CA4" s="9" t="s">
        <v>105</v>
      </c>
      <c r="CB4" s="9" t="s">
        <v>51</v>
      </c>
      <c r="CC4" s="9" t="s">
        <v>52</v>
      </c>
      <c r="CD4" s="9" t="s">
        <v>106</v>
      </c>
      <c r="CE4" s="9" t="s">
        <v>107</v>
      </c>
      <c r="CF4" s="9" t="s">
        <v>108</v>
      </c>
    </row>
    <row r="5" spans="1:84" x14ac:dyDescent="0.35">
      <c r="A5" s="11">
        <v>0</v>
      </c>
      <c r="B5" s="11" t="str">
        <f>'1.Locations'!B2</f>
        <v>Depot</v>
      </c>
      <c r="C5" s="11">
        <f ca="1">IFERROR(MATCH(INDIRECT("B5"),'1.Locations'!B2:B11, 0) - 1," ")</f>
        <v>0</v>
      </c>
      <c r="D5" s="44">
        <f ca="1">IFERROR(IF(ISNUMBER(C5),INDEX('1.Locations'!D2:D11,C5 + 1),NA()),NA())</f>
        <v>41.388061800000003</v>
      </c>
      <c r="E5" s="44">
        <f ca="1">IFERROR(IF(ISNUMBER(C5),INDEX('1.Locations'!E2:E11,C5 + 1),NA()),NA())</f>
        <v>2.1506392999999999</v>
      </c>
      <c r="F5" s="47">
        <v>0</v>
      </c>
      <c r="G5" s="48">
        <v>0</v>
      </c>
      <c r="H5" s="49"/>
      <c r="I5" s="49">
        <f>'3.Vehicles'!H2</f>
        <v>0.33333333333333331</v>
      </c>
      <c r="J5" s="48">
        <v>0</v>
      </c>
      <c r="K5" s="44">
        <v>0</v>
      </c>
      <c r="L5" s="47">
        <v>0</v>
      </c>
      <c r="M5" s="47">
        <v>0</v>
      </c>
      <c r="N5" s="47">
        <v>0</v>
      </c>
      <c r="O5" s="47">
        <f ca="1">IFERROR(IF(ISNUMBER(C5),IF(B6 = B5, 0, IF(B6 = "", 0, O6 + M6))," ")," ")</f>
        <v>2497</v>
      </c>
      <c r="P5" s="44">
        <f ca="1">IFERROR(IF(ISNUMBER(C5),N5 + O5," ")," ")</f>
        <v>2497</v>
      </c>
      <c r="R5" s="11">
        <v>0</v>
      </c>
      <c r="S5" s="11" t="str">
        <f>'1.Locations'!B2</f>
        <v>Depot</v>
      </c>
      <c r="T5" s="11">
        <f ca="1">IFERROR(MATCH(INDIRECT("S5"),'1.Locations'!B2:B11, 0) - 1," ")</f>
        <v>0</v>
      </c>
      <c r="U5" s="44">
        <f ca="1">IFERROR(IF(ISNUMBER(T5),INDEX('1.Locations'!D2:D11,T5 + 1),NA()),NA())</f>
        <v>41.388061800000003</v>
      </c>
      <c r="V5" s="44">
        <f ca="1">IFERROR(IF(ISNUMBER(T5),INDEX('1.Locations'!E2:E11,T5 + 1),NA()),NA())</f>
        <v>2.1506392999999999</v>
      </c>
      <c r="W5" s="47">
        <v>0</v>
      </c>
      <c r="X5" s="48">
        <v>0</v>
      </c>
      <c r="Y5" s="49"/>
      <c r="Z5" s="49">
        <f>'3.Vehicles'!H2</f>
        <v>0.33333333333333331</v>
      </c>
      <c r="AA5" s="48">
        <v>0</v>
      </c>
      <c r="AB5" s="44">
        <v>0</v>
      </c>
      <c r="AC5" s="47">
        <v>0</v>
      </c>
      <c r="AD5" s="47">
        <v>0</v>
      </c>
      <c r="AE5" s="47">
        <v>0</v>
      </c>
      <c r="AF5" s="47">
        <f ca="1">IFERROR(IF(ISNUMBER(T5),IF(S6 = S5, 0, IF(S6 = "", 0, AF6 + AD6))," ")," ")</f>
        <v>1859</v>
      </c>
      <c r="AG5" s="44">
        <f ca="1">IFERROR(IF(ISNUMBER(T5),AE5 + AF5," ")," ")</f>
        <v>1859</v>
      </c>
      <c r="AI5" s="11">
        <v>0</v>
      </c>
      <c r="AJ5" s="11" t="str">
        <f>'1.Locations'!B2</f>
        <v>Depot</v>
      </c>
      <c r="AK5" s="11">
        <f ca="1">IFERROR(MATCH(INDIRECT("AJ5"),'1.Locations'!B2:B11, 0) - 1," ")</f>
        <v>0</v>
      </c>
      <c r="AL5" s="44">
        <f ca="1">IFERROR(IF(ISNUMBER(AK5),INDEX('1.Locations'!D2:D11,AK5 + 1),NA()),NA())</f>
        <v>41.388061800000003</v>
      </c>
      <c r="AM5" s="44">
        <f ca="1">IFERROR(IF(ISNUMBER(AK5),INDEX('1.Locations'!E2:E11,AK5 + 1),NA()),NA())</f>
        <v>2.1506392999999999</v>
      </c>
      <c r="AN5" s="47">
        <v>0</v>
      </c>
      <c r="AO5" s="48">
        <v>0</v>
      </c>
      <c r="AP5" s="49"/>
      <c r="AQ5" s="49">
        <f>'3.Vehicles'!H2</f>
        <v>0.33333333333333331</v>
      </c>
      <c r="AR5" s="48">
        <v>0</v>
      </c>
      <c r="AS5" s="44">
        <v>0</v>
      </c>
      <c r="AT5" s="47">
        <v>0</v>
      </c>
      <c r="AU5" s="47">
        <v>0</v>
      </c>
      <c r="AV5" s="47">
        <v>0</v>
      </c>
      <c r="AW5" s="47">
        <f ca="1">IFERROR(IF(ISNUMBER(AK5),IF(AJ6 = AJ5, 0, IF(AJ6 = "", 0, AW6 + AU6))," ")," ")</f>
        <v>1776</v>
      </c>
      <c r="AX5" s="44">
        <f ca="1">IFERROR(IF(ISNUMBER(AK5),AV5 + AW5," ")," ")</f>
        <v>1776</v>
      </c>
      <c r="AZ5" s="11">
        <v>0</v>
      </c>
      <c r="BA5" s="11" t="str">
        <f>'1.Locations'!B2</f>
        <v>Depot</v>
      </c>
      <c r="BB5" s="11">
        <f ca="1">IFERROR(MATCH(INDIRECT("BA5"),'1.Locations'!B2:B11, 0) - 1," ")</f>
        <v>0</v>
      </c>
      <c r="BC5" s="44">
        <f ca="1">IFERROR(IF(ISNUMBER(BB5),INDEX('1.Locations'!D2:D11,BB5 + 1),NA()),NA())</f>
        <v>41.388061800000003</v>
      </c>
      <c r="BD5" s="44">
        <f ca="1">IFERROR(IF(ISNUMBER(BB5),INDEX('1.Locations'!E2:E11,BB5 + 1),NA()),NA())</f>
        <v>2.1506392999999999</v>
      </c>
      <c r="BE5" s="47">
        <v>0</v>
      </c>
      <c r="BF5" s="48">
        <v>0</v>
      </c>
      <c r="BG5" s="49"/>
      <c r="BH5" s="49">
        <f>'3.Vehicles'!H2</f>
        <v>0.33333333333333331</v>
      </c>
      <c r="BI5" s="48">
        <v>0</v>
      </c>
      <c r="BJ5" s="44">
        <v>0</v>
      </c>
      <c r="BK5" s="47">
        <v>0</v>
      </c>
      <c r="BL5" s="47">
        <v>0</v>
      </c>
      <c r="BM5" s="47">
        <v>0</v>
      </c>
      <c r="BN5" s="47">
        <f ca="1">IFERROR(IF(ISNUMBER(BB5),IF(BA6 = BA5, 0, IF(BA6 = "", 0, BN6 + BL6))," ")," ")</f>
        <v>2366</v>
      </c>
      <c r="BO5" s="44">
        <f ca="1">IFERROR(IF(ISNUMBER(BB5),BM5 + BN5," ")," ")</f>
        <v>2366</v>
      </c>
      <c r="BQ5" s="11">
        <v>0</v>
      </c>
      <c r="BR5" s="11" t="str">
        <f>'1.Locations'!B2</f>
        <v>Depot</v>
      </c>
      <c r="BS5" s="11">
        <f ca="1">IFERROR(MATCH(INDIRECT("BR5"),'1.Locations'!B2:B11, 0) - 1," ")</f>
        <v>0</v>
      </c>
      <c r="BT5" s="44">
        <f ca="1">IFERROR(IF(ISNUMBER(BS5),INDEX('1.Locations'!D2:D11,BS5 + 1),NA()),NA())</f>
        <v>41.388061800000003</v>
      </c>
      <c r="BU5" s="44">
        <f ca="1">IFERROR(IF(ISNUMBER(BS5),INDEX('1.Locations'!E2:E11,BS5 + 1),NA()),NA())</f>
        <v>2.1506392999999999</v>
      </c>
      <c r="BV5" s="47">
        <v>0</v>
      </c>
      <c r="BW5" s="48">
        <v>0</v>
      </c>
      <c r="BX5" s="49"/>
      <c r="BY5" s="49">
        <f>'3.Vehicles'!H2</f>
        <v>0.33333333333333331</v>
      </c>
      <c r="BZ5" s="48">
        <v>0</v>
      </c>
      <c r="CA5" s="44">
        <v>0</v>
      </c>
      <c r="CB5" s="47">
        <v>0</v>
      </c>
      <c r="CC5" s="47">
        <v>0</v>
      </c>
      <c r="CD5" s="47">
        <v>0</v>
      </c>
      <c r="CE5" s="47">
        <f ca="1">IFERROR(IF(ISNUMBER(BS5),IF(BR6 = BR5, 0, IF(BR6 = "", 0, CE6 + CC6))," ")," ")</f>
        <v>1957</v>
      </c>
      <c r="CF5" s="44">
        <f ca="1">IFERROR(IF(ISNUMBER(BS5),CD5 + CE5," ")," ")</f>
        <v>1957</v>
      </c>
    </row>
    <row r="6" spans="1:84" x14ac:dyDescent="0.35">
      <c r="A6" s="15">
        <v>1</v>
      </c>
      <c r="B6" s="53" t="s">
        <v>62</v>
      </c>
      <c r="C6" s="46">
        <f ca="1">IFERROR(MATCH(INDIRECT("B6"),'1.Locations'!B2:B11, 0) - 1," ")</f>
        <v>6</v>
      </c>
      <c r="D6" s="46">
        <f ca="1">IFERROR(IF(ISNUMBER(C6),INDEX('1.Locations'!D2:D11,C6 + 1),NA()),NA())</f>
        <v>41.442987610000003</v>
      </c>
      <c r="E6" s="46">
        <f ca="1">IFERROR(IF(ISNUMBER(C6),INDEX('1.Locations'!E2:E11,C6 + 1),NA()),NA())</f>
        <v>2.1926312069999998</v>
      </c>
      <c r="F6" s="54">
        <f ca="1">IFERROR(IF(ISNUMBER(C6),INDEX('2.Distances'!C2:C101,C5*10+C6+ 1) +F5," ")," ")</f>
        <v>13.041</v>
      </c>
      <c r="G6" s="55">
        <f ca="1">IFERROR(IF(ISNUMBER(C6),'3.Vehicles'!F2 * INDEX('2.Distances'!D2:D101,C5*10+C6 + 1) +G5," ")," ")</f>
        <v>1.2499999999999999E-2</v>
      </c>
      <c r="H6" s="56">
        <f ca="1">IFERROR(IF(ISNUMBER(C6),'3.Vehicles'!F2 * INDEX('2.Distances'!D2:D101,C5*10+C6 + 1) +I5," ")," ")</f>
        <v>0.34583333333333333</v>
      </c>
      <c r="I6" s="56">
        <f ca="1">IFERROR(IF(AND(C5&lt;&gt;C6,ISNUMBER(H6)),INDEX('1.Locations'!I2:I11,C6 + 1) + MAX(H6,INDEX('1.Locations'!F2:F11,C6 + 1))," ")," ")</f>
        <v>0.35277777777777775</v>
      </c>
      <c r="J6" s="55">
        <f ca="1">IFERROR(IF(AND(B6 = B5, B7 = ""), H6 - I5, I6 - I5)," ")</f>
        <v>1.9444444444444431E-2</v>
      </c>
      <c r="K6" s="46">
        <f ca="1">IFERROR(IF(ISNUMBER(C6),INDEX('1.Locations'!L2:L11,C6 + 1) + K5," ")," ")</f>
        <v>0</v>
      </c>
      <c r="L6" s="54">
        <f ca="1">IFERROR(IF(ISNUMBER(C6),INDEX('1.Locations'!J2:J11,C6 + 1)," ")," ")</f>
        <v>0</v>
      </c>
      <c r="M6" s="54">
        <f ca="1">IFERROR(IF(ISNUMBER(C6),INDEX('1.Locations'!K2:K11,C6 + 1)," ")," ")</f>
        <v>2497</v>
      </c>
      <c r="N6" s="54">
        <f ca="1">IFERROR(IF(ISNUMBER(C6),IF(B6 = B5, 0, L6 + N5)," ")," ")</f>
        <v>0</v>
      </c>
      <c r="O6" s="54">
        <f ca="1">IFERROR(IF(ISNUMBER(C6),IF(B7 = B5, 0, IF(B7 = "", 0, O7 + M7))," ")," ")</f>
        <v>0</v>
      </c>
      <c r="P6" s="46">
        <f ca="1">IFERROR(IF(ISNUMBER(C6),N6 + O6," ")," ")</f>
        <v>0</v>
      </c>
      <c r="R6" s="15">
        <v>1</v>
      </c>
      <c r="S6" s="53" t="s">
        <v>59</v>
      </c>
      <c r="T6" s="46">
        <f ca="1">IFERROR(MATCH(INDIRECT("S6"),'1.Locations'!B2:B11, 0) - 1," ")</f>
        <v>3</v>
      </c>
      <c r="U6" s="46">
        <f ca="1">IFERROR(IF(ISNUMBER(T6),INDEX('1.Locations'!D2:D11,T6 + 1),NA()),NA())</f>
        <v>41.563444277999999</v>
      </c>
      <c r="V6" s="46">
        <f ca="1">IFERROR(IF(ISNUMBER(T6),INDEX('1.Locations'!E2:E11,T6 + 1),NA()),NA())</f>
        <v>2.0171088541</v>
      </c>
      <c r="W6" s="54">
        <f ca="1">IFERROR(IF(ISNUMBER(T6),INDEX('2.Distances'!C2:C101,T5*10+T6+ 1) +W5," ")," ")</f>
        <v>26.196000000000002</v>
      </c>
      <c r="X6" s="55">
        <f ca="1">IFERROR(IF(ISNUMBER(T6),'3.Vehicles'!F2 * INDEX('2.Distances'!D2:D101,T5*10+T6 + 1) +X5," ")," ")</f>
        <v>2.013888888888889E-2</v>
      </c>
      <c r="Y6" s="56">
        <f ca="1">IFERROR(IF(ISNUMBER(T6),'3.Vehicles'!F2 * INDEX('2.Distances'!D2:D101,T5*10+T6 + 1) +Z5," ")," ")</f>
        <v>0.35347222222222219</v>
      </c>
      <c r="Z6" s="56">
        <f ca="1">IFERROR(IF(AND(T5&lt;&gt;T6,ISNUMBER(Y6)),INDEX('1.Locations'!I2:I11,T6 + 1) + MAX(Y6,INDEX('1.Locations'!F2:F11,T6 + 1))," ")," ")</f>
        <v>0.36041666666666661</v>
      </c>
      <c r="AA6" s="55">
        <f ca="1">IFERROR(IF(AND(S6 = S5, S7 = ""), Y6 - Z5, Z6 - Z5)," ")</f>
        <v>2.7083333333333293E-2</v>
      </c>
      <c r="AB6" s="46">
        <f ca="1">IFERROR(IF(ISNUMBER(T6),INDEX('1.Locations'!L2:L11,T6 + 1) + AB5," ")," ")</f>
        <v>0</v>
      </c>
      <c r="AC6" s="54">
        <f ca="1">IFERROR(IF(ISNUMBER(T6),INDEX('1.Locations'!J2:J11,T6 + 1)," ")," ")</f>
        <v>0</v>
      </c>
      <c r="AD6" s="54">
        <f ca="1">IFERROR(IF(ISNUMBER(T6),INDEX('1.Locations'!K2:K11,T6 + 1)," ")," ")</f>
        <v>1859</v>
      </c>
      <c r="AE6" s="54">
        <f ca="1">IFERROR(IF(ISNUMBER(T6),IF(S6 = S5, 0, AC6 + AE5)," ")," ")</f>
        <v>0</v>
      </c>
      <c r="AF6" s="54">
        <f ca="1">IFERROR(IF(ISNUMBER(T6),IF(S7 = S5, 0, IF(S7 = "", 0, AF7 + AD7))," ")," ")</f>
        <v>0</v>
      </c>
      <c r="AG6" s="46">
        <f ca="1">IFERROR(IF(ISNUMBER(T6),AE6 + AF6," ")," ")</f>
        <v>0</v>
      </c>
      <c r="AI6" s="15">
        <v>1</v>
      </c>
      <c r="AJ6" s="53" t="s">
        <v>64</v>
      </c>
      <c r="AK6" s="46">
        <f ca="1">IFERROR(MATCH(INDIRECT("AJ6"),'1.Locations'!B2:B11, 0) - 1," ")</f>
        <v>8</v>
      </c>
      <c r="AL6" s="46">
        <f ca="1">IFERROR(IF(ISNUMBER(AK6),INDEX('1.Locations'!D2:D11,AK6 + 1),NA()),NA())</f>
        <v>41.34315247</v>
      </c>
      <c r="AM6" s="46">
        <f ca="1">IFERROR(IF(ISNUMBER(AK6),INDEX('1.Locations'!E2:E11,AK6 + 1),NA()),NA())</f>
        <v>1.7031212920000001</v>
      </c>
      <c r="AN6" s="54">
        <f ca="1">IFERROR(IF(ISNUMBER(AK6),INDEX('2.Distances'!C2:C101,AK5*10+AK6+ 1) +AN5," ")," ")</f>
        <v>51.628</v>
      </c>
      <c r="AO6" s="55">
        <f ca="1">IFERROR(IF(ISNUMBER(AK6),'3.Vehicles'!F2 * INDEX('2.Distances'!D2:D101,AK5*10+AK6 + 1) +AO5," ")," ")</f>
        <v>2.7083333333333334E-2</v>
      </c>
      <c r="AP6" s="56">
        <f ca="1">IFERROR(IF(ISNUMBER(AK6),'3.Vehicles'!F2 * INDEX('2.Distances'!D2:D101,AK5*10+AK6 + 1) +AQ5," ")," ")</f>
        <v>0.36041666666666666</v>
      </c>
      <c r="AQ6" s="56">
        <f ca="1">IFERROR(IF(AND(AK5&lt;&gt;AK6,ISNUMBER(AP6)),INDEX('1.Locations'!I2:I11,AK6 + 1) + MAX(AP6,INDEX('1.Locations'!F2:F11,AK6 + 1))," ")," ")</f>
        <v>0.36736111111111108</v>
      </c>
      <c r="AR6" s="55">
        <f ca="1">IFERROR(IF(AND(AJ6 = AJ5, AJ7 = ""), AP6 - AQ5, AQ6 - AQ5)," ")</f>
        <v>3.4027777777777768E-2</v>
      </c>
      <c r="AS6" s="46">
        <f ca="1">IFERROR(IF(ISNUMBER(AK6),INDEX('1.Locations'!L2:L11,AK6 + 1) + AS5," ")," ")</f>
        <v>0</v>
      </c>
      <c r="AT6" s="54">
        <f ca="1">IFERROR(IF(ISNUMBER(AK6),INDEX('1.Locations'!J2:J11,AK6 + 1)," ")," ")</f>
        <v>0</v>
      </c>
      <c r="AU6" s="54">
        <f ca="1">IFERROR(IF(ISNUMBER(AK6),INDEX('1.Locations'!K2:K11,AK6 + 1)," ")," ")</f>
        <v>208</v>
      </c>
      <c r="AV6" s="54">
        <f ca="1">IFERROR(IF(ISNUMBER(AK6),IF(AJ6 = AJ5, 0, AT6 + AV5)," ")," ")</f>
        <v>0</v>
      </c>
      <c r="AW6" s="54">
        <f ca="1">IFERROR(IF(ISNUMBER(AK6),IF(AJ7 = AJ5, 0, IF(AJ7 = "", 0, AW7 + AU7))," ")," ")</f>
        <v>1568</v>
      </c>
      <c r="AX6" s="46">
        <f ca="1">IFERROR(IF(ISNUMBER(AK6),AV6 + AW6," ")," ")</f>
        <v>1568</v>
      </c>
      <c r="AZ6" s="15">
        <v>1</v>
      </c>
      <c r="BA6" s="53" t="s">
        <v>56</v>
      </c>
      <c r="BB6" s="46">
        <f ca="1">IFERROR(MATCH(INDIRECT("BA6"),'1.Locations'!B2:B11, 0) - 1," ")</f>
        <v>1</v>
      </c>
      <c r="BC6" s="46">
        <f ca="1">IFERROR(IF(ISNUMBER(BB6),INDEX('1.Locations'!D2:D11,BB6 + 1),NA()),NA())</f>
        <v>41.984707399999998</v>
      </c>
      <c r="BD6" s="46">
        <f ca="1">IFERROR(IF(ISNUMBER(BB6),INDEX('1.Locations'!E2:E11,BB6 + 1),NA()),NA())</f>
        <v>2.8221204000000002</v>
      </c>
      <c r="BE6" s="54">
        <f ca="1">IFERROR(IF(ISNUMBER(BB6),INDEX('2.Distances'!C2:C101,BB5*10+BB6+ 1) +BE5," ")," ")</f>
        <v>103.637</v>
      </c>
      <c r="BF6" s="55">
        <f ca="1">IFERROR(IF(ISNUMBER(BB6),'3.Vehicles'!F2 * INDEX('2.Distances'!D2:D101,BB5*10+BB6 + 1) +BF5," ")," ")</f>
        <v>4.9305555555555554E-2</v>
      </c>
      <c r="BG6" s="56">
        <f ca="1">IFERROR(IF(ISNUMBER(BB6),'3.Vehicles'!F2 * INDEX('2.Distances'!D2:D101,BB5*10+BB6 + 1) +BH5," ")," ")</f>
        <v>0.38263888888888886</v>
      </c>
      <c r="BH6" s="56">
        <f ca="1">IFERROR(IF(AND(BB5&lt;&gt;BB6,ISNUMBER(BG6)),INDEX('1.Locations'!I2:I11,BB6 + 1) + MAX(BG6,INDEX('1.Locations'!F2:F11,BB6 + 1))," ")," ")</f>
        <v>0.38958333333333328</v>
      </c>
      <c r="BI6" s="55">
        <f ca="1">IFERROR(IF(AND(BA6 = BA5, BA7 = ""), BG6 - BH5, BH6 - BH5)," ")</f>
        <v>5.6249999999999967E-2</v>
      </c>
      <c r="BJ6" s="46">
        <f ca="1">IFERROR(IF(ISNUMBER(BB6),INDEX('1.Locations'!L2:L11,BB6 + 1) + BJ5," ")," ")</f>
        <v>0</v>
      </c>
      <c r="BK6" s="54">
        <f ca="1">IFERROR(IF(ISNUMBER(BB6),INDEX('1.Locations'!J2:J11,BB6 + 1)," ")," ")</f>
        <v>0</v>
      </c>
      <c r="BL6" s="54">
        <f ca="1">IFERROR(IF(ISNUMBER(BB6),INDEX('1.Locations'!K2:K11,BB6 + 1)," ")," ")</f>
        <v>2366</v>
      </c>
      <c r="BM6" s="54">
        <f ca="1">IFERROR(IF(ISNUMBER(BB6),IF(BA6 = BA5, 0, BK6 + BM5)," ")," ")</f>
        <v>0</v>
      </c>
      <c r="BN6" s="54">
        <f ca="1">IFERROR(IF(ISNUMBER(BB6),IF(BA7 = BA5, 0, IF(BA7 = "", 0, BN7 + BL7))," ")," ")</f>
        <v>0</v>
      </c>
      <c r="BO6" s="46">
        <f ca="1">IFERROR(IF(ISNUMBER(BB6),BM6 + BN6," ")," ")</f>
        <v>0</v>
      </c>
      <c r="BQ6" s="15">
        <v>1</v>
      </c>
      <c r="BR6" s="53" t="s">
        <v>61</v>
      </c>
      <c r="BS6" s="46">
        <f ca="1">IFERROR(MATCH(INDIRECT("BR6"),'1.Locations'!B2:B11, 0) - 1," ")</f>
        <v>5</v>
      </c>
      <c r="BT6" s="46">
        <f ca="1">IFERROR(IF(ISNUMBER(BS6),INDEX('1.Locations'!D2:D11,BS6 + 1),NA()),NA())</f>
        <v>41.625803599999998</v>
      </c>
      <c r="BU6" s="46">
        <f ca="1">IFERROR(IF(ISNUMBER(BS6),INDEX('1.Locations'!E2:E11,BS6 + 1),NA()),NA())</f>
        <v>0.61933660000000001</v>
      </c>
      <c r="BV6" s="54">
        <f ca="1">IFERROR(IF(ISNUMBER(BS6),INDEX('2.Distances'!C2:C101,BS5*10+BS6+ 1) +BV5," ")," ")</f>
        <v>152.255</v>
      </c>
      <c r="BW6" s="55">
        <f ca="1">IFERROR(IF(ISNUMBER(BS6),'3.Vehicles'!F2 * INDEX('2.Distances'!D2:D101,BS5*10+BS6 + 1) +BW5," ")," ")</f>
        <v>6.5972222222222224E-2</v>
      </c>
      <c r="BX6" s="56">
        <f ca="1">IFERROR(IF(ISNUMBER(BS6),'3.Vehicles'!F2 * INDEX('2.Distances'!D2:D101,BS5*10+BS6 + 1) +BY5," ")," ")</f>
        <v>0.39930555555555552</v>
      </c>
      <c r="BY6" s="56">
        <f ca="1">IFERROR(IF(AND(BS5&lt;&gt;BS6,ISNUMBER(BX6)),INDEX('1.Locations'!I2:I11,BS6 + 1) + MAX(BX6,INDEX('1.Locations'!F2:F11,BS6 + 1))," ")," ")</f>
        <v>0.40624999999999994</v>
      </c>
      <c r="BZ6" s="55">
        <f ca="1">IFERROR(IF(AND(BR6 = BR5, BR7 = ""), BX6 - BY5, BY6 - BY5)," ")</f>
        <v>7.291666666666663E-2</v>
      </c>
      <c r="CA6" s="46">
        <f ca="1">IFERROR(IF(ISNUMBER(BS6),INDEX('1.Locations'!L2:L11,BS6 + 1) + CA5," ")," ")</f>
        <v>0</v>
      </c>
      <c r="CB6" s="54">
        <f ca="1">IFERROR(IF(ISNUMBER(BS6),INDEX('1.Locations'!J2:J11,BS6 + 1)," ")," ")</f>
        <v>0</v>
      </c>
      <c r="CC6" s="54">
        <f ca="1">IFERROR(IF(ISNUMBER(BS6),INDEX('1.Locations'!K2:K11,BS6 + 1)," ")," ")</f>
        <v>951</v>
      </c>
      <c r="CD6" s="54">
        <f ca="1">IFERROR(IF(ISNUMBER(BS6),IF(BR6 = BR5, 0, CB6 + CD5)," ")," ")</f>
        <v>0</v>
      </c>
      <c r="CE6" s="54">
        <f ca="1">IFERROR(IF(ISNUMBER(BS6),IF(BR7 = BR5, 0, IF(BR7 = "", 0, CE7 + CC7))," ")," ")</f>
        <v>1006</v>
      </c>
      <c r="CF6" s="46">
        <f ca="1">IFERROR(IF(ISNUMBER(BS6),CD6 + CE6," ")," ")</f>
        <v>1006</v>
      </c>
    </row>
    <row r="7" spans="1:84" x14ac:dyDescent="0.35">
      <c r="A7" s="15">
        <v>2</v>
      </c>
      <c r="B7" s="58" t="s">
        <v>54</v>
      </c>
      <c r="C7" s="46">
        <f ca="1">IFERROR(MATCH(INDIRECT("B7"),'1.Locations'!B2:B11, 0) - 1," ")</f>
        <v>0</v>
      </c>
      <c r="D7" s="46">
        <f ca="1">IFERROR(IF(ISNUMBER(C7),INDEX('1.Locations'!D2:D11,C7 + 1),NA()),NA())</f>
        <v>41.388061800000003</v>
      </c>
      <c r="E7" s="46">
        <f ca="1">IFERROR(IF(ISNUMBER(C7),INDEX('1.Locations'!E2:E11,C7 + 1),NA()),NA())</f>
        <v>2.1506392999999999</v>
      </c>
      <c r="F7" s="54">
        <f ca="1">IFERROR(IF(ISNUMBER(C7),INDEX('2.Distances'!C2:C101,C6*10+C7+ 1) +F6," ")," ")</f>
        <v>23.89</v>
      </c>
      <c r="G7" s="55">
        <f ca="1">IFERROR(IF(ISNUMBER(C7),'3.Vehicles'!F2 * INDEX('2.Distances'!D2:D101,C6*10+C7 + 1) +G6," ")," ")</f>
        <v>2.5694444444444443E-2</v>
      </c>
      <c r="H7" s="56">
        <f ca="1">IFERROR(IF(ISNUMBER(C7),'3.Vehicles'!F2 * INDEX('2.Distances'!D2:D101,C6*10+C7 + 1) +I6," ")," ")</f>
        <v>0.3659722222222222</v>
      </c>
      <c r="I7" s="56" t="str">
        <f ca="1">IFERROR(IF(AND(C5&lt;&gt;C7,ISNUMBER(H7)),INDEX('1.Locations'!I2:I11,C7 + 1) + MAX(H7,INDEX('1.Locations'!F2:F11,C7 + 1))," ")," ")</f>
        <v xml:space="preserve"> </v>
      </c>
      <c r="J7" s="55">
        <f ca="1">IFERROR(IF(AND(B7 = B5, B8 = ""), H7 - I5, I7 - I5)," ")</f>
        <v>3.2638888888888884E-2</v>
      </c>
      <c r="K7" s="46">
        <f ca="1">IFERROR(IF(ISNUMBER(C7),INDEX('1.Locations'!L2:L11,C7 + 1) + K6," ")," ")</f>
        <v>0</v>
      </c>
      <c r="L7" s="54">
        <f ca="1">IFERROR(IF(ISNUMBER(C7),INDEX('1.Locations'!J2:J11,C7 + 1)," ")," ")</f>
        <v>5</v>
      </c>
      <c r="M7" s="54">
        <f ca="1">IFERROR(IF(ISNUMBER(C7),INDEX('1.Locations'!K2:K11,C7 + 1)," ")," ")</f>
        <v>0</v>
      </c>
      <c r="N7" s="54">
        <f ca="1">IFERROR(IF(ISNUMBER(C7),IF(B7 = B5, 0, L7 + N6)," ")," ")</f>
        <v>0</v>
      </c>
      <c r="O7" s="54">
        <f ca="1">IFERROR(IF(ISNUMBER(C7),IF(B8 = B5, 0, IF(B8 = "", 0, O8 + M8))," ")," ")</f>
        <v>0</v>
      </c>
      <c r="P7" s="46">
        <f ca="1">IFERROR(IF(ISNUMBER(C7),N7 + O7," ")," ")</f>
        <v>0</v>
      </c>
      <c r="R7" s="15">
        <v>2</v>
      </c>
      <c r="S7" s="58" t="s">
        <v>54</v>
      </c>
      <c r="T7" s="46">
        <f ca="1">IFERROR(MATCH(INDIRECT("S7"),'1.Locations'!B2:B11, 0) - 1," ")</f>
        <v>0</v>
      </c>
      <c r="U7" s="46">
        <f ca="1">IFERROR(IF(ISNUMBER(T7),INDEX('1.Locations'!D2:D11,T7 + 1),NA()),NA())</f>
        <v>41.388061800000003</v>
      </c>
      <c r="V7" s="46">
        <f ca="1">IFERROR(IF(ISNUMBER(T7),INDEX('1.Locations'!E2:E11,T7 + 1),NA()),NA())</f>
        <v>2.1506392999999999</v>
      </c>
      <c r="W7" s="54">
        <f ca="1">IFERROR(IF(ISNUMBER(T7),INDEX('2.Distances'!C2:C101,T6*10+T7+ 1) +W6," ")," ")</f>
        <v>53.212000000000003</v>
      </c>
      <c r="X7" s="55">
        <f ca="1">IFERROR(IF(ISNUMBER(T7),'3.Vehicles'!F2 * INDEX('2.Distances'!D2:D101,T6*10+T7 + 1) +X6," ")," ")</f>
        <v>4.1666666666666671E-2</v>
      </c>
      <c r="Y7" s="56">
        <f ca="1">IFERROR(IF(ISNUMBER(T7),'3.Vehicles'!F2 * INDEX('2.Distances'!D2:D101,T6*10+T7 + 1) +Z6," ")," ")</f>
        <v>0.38194444444444436</v>
      </c>
      <c r="Z7" s="56" t="str">
        <f ca="1">IFERROR(IF(AND(T5&lt;&gt;T7,ISNUMBER(Y7)),INDEX('1.Locations'!I2:I11,T7 + 1) + MAX(Y7,INDEX('1.Locations'!F2:F11,T7 + 1))," ")," ")</f>
        <v xml:space="preserve"> </v>
      </c>
      <c r="AA7" s="55">
        <f ca="1">IFERROR(IF(AND(S7 = S5, S8 = ""), Y7 - Z5, Z7 - Z5)," ")</f>
        <v>4.8611111111111049E-2</v>
      </c>
      <c r="AB7" s="46">
        <f ca="1">IFERROR(IF(ISNUMBER(T7),INDEX('1.Locations'!L2:L11,T7 + 1) + AB6," ")," ")</f>
        <v>0</v>
      </c>
      <c r="AC7" s="54">
        <f ca="1">IFERROR(IF(ISNUMBER(T7),INDEX('1.Locations'!J2:J11,T7 + 1)," ")," ")</f>
        <v>5</v>
      </c>
      <c r="AD7" s="54">
        <f ca="1">IFERROR(IF(ISNUMBER(T7),INDEX('1.Locations'!K2:K11,T7 + 1)," ")," ")</f>
        <v>0</v>
      </c>
      <c r="AE7" s="54">
        <f ca="1">IFERROR(IF(ISNUMBER(T7),IF(S7 = S5, 0, AC7 + AE6)," ")," ")</f>
        <v>0</v>
      </c>
      <c r="AF7" s="54">
        <f ca="1">IFERROR(IF(ISNUMBER(T7),IF(S8 = S5, 0, IF(S8 = "", 0, AF8 + AD8))," ")," ")</f>
        <v>0</v>
      </c>
      <c r="AG7" s="46">
        <f ca="1">IFERROR(IF(ISNUMBER(T7),AE7 + AF7," ")," ")</f>
        <v>0</v>
      </c>
      <c r="AI7" s="15">
        <v>2</v>
      </c>
      <c r="AJ7" s="58" t="s">
        <v>63</v>
      </c>
      <c r="AK7" s="46">
        <f ca="1">IFERROR(MATCH(INDIRECT("AJ7"),'1.Locations'!B2:B11, 0) - 1," ")</f>
        <v>7</v>
      </c>
      <c r="AL7" s="46">
        <f ca="1">IFERROR(IF(ISNUMBER(AK7),INDEX('1.Locations'!D2:D11,AK7 + 1),NA()),NA())</f>
        <v>40.700617299999998</v>
      </c>
      <c r="AM7" s="46">
        <f ca="1">IFERROR(IF(ISNUMBER(AK7),INDEX('1.Locations'!E2:E11,AK7 + 1),NA()),NA())</f>
        <v>0.58012019999999997</v>
      </c>
      <c r="AN7" s="54">
        <f ca="1">IFERROR(IF(ISNUMBER(AK7),INDEX('2.Distances'!C2:C101,AK6*10+AK7+ 1) +AN6," ")," ")</f>
        <v>186.06</v>
      </c>
      <c r="AO7" s="55">
        <f ca="1">IFERROR(IF(ISNUMBER(AK7),'3.Vehicles'!F2 * INDEX('2.Distances'!D2:D101,AK6*10+AK7 + 1) +AO6," ")," ")</f>
        <v>7.7777777777777779E-2</v>
      </c>
      <c r="AP7" s="56">
        <f ca="1">IFERROR(IF(ISNUMBER(AK7),'3.Vehicles'!F2 * INDEX('2.Distances'!D2:D101,AK6*10+AK7 + 1) +AQ6," ")," ")</f>
        <v>0.41805555555555551</v>
      </c>
      <c r="AQ7" s="56">
        <f ca="1">IFERROR(IF(AND(AK5&lt;&gt;AK7,ISNUMBER(AP7)),INDEX('1.Locations'!I2:I11,AK7 + 1) + MAX(AP7,INDEX('1.Locations'!F2:F11,AK7 + 1))," ")," ")</f>
        <v>0.42499999999999993</v>
      </c>
      <c r="AR7" s="55">
        <f ca="1">IFERROR(IF(AND(AJ7 = AJ5, AJ8 = ""), AP7 - AQ5, AQ7 - AQ5)," ")</f>
        <v>9.1666666666666619E-2</v>
      </c>
      <c r="AS7" s="46">
        <f ca="1">IFERROR(IF(ISNUMBER(AK7),INDEX('1.Locations'!L2:L11,AK7 + 1) + AS6," ")," ")</f>
        <v>0</v>
      </c>
      <c r="AT7" s="54">
        <f ca="1">IFERROR(IF(ISNUMBER(AK7),INDEX('1.Locations'!J2:J11,AK7 + 1)," ")," ")</f>
        <v>0</v>
      </c>
      <c r="AU7" s="54">
        <f ca="1">IFERROR(IF(ISNUMBER(AK7),INDEX('1.Locations'!K2:K11,AK7 + 1)," ")," ")</f>
        <v>519</v>
      </c>
      <c r="AV7" s="54">
        <f ca="1">IFERROR(IF(ISNUMBER(AK7),IF(AJ7 = AJ5, 0, AT7 + AV6)," ")," ")</f>
        <v>0</v>
      </c>
      <c r="AW7" s="54">
        <f ca="1">IFERROR(IF(ISNUMBER(AK7),IF(AJ8 = AJ5, 0, IF(AJ8 = "", 0, AW8 + AU8))," ")," ")</f>
        <v>1049</v>
      </c>
      <c r="AX7" s="46">
        <f ca="1">IFERROR(IF(ISNUMBER(AK7),AV7 + AW7," ")," ")</f>
        <v>1049</v>
      </c>
      <c r="AZ7" s="15">
        <v>2</v>
      </c>
      <c r="BA7" s="58" t="s">
        <v>54</v>
      </c>
      <c r="BB7" s="46">
        <f ca="1">IFERROR(MATCH(INDIRECT("BA7"),'1.Locations'!B2:B11, 0) - 1," ")</f>
        <v>0</v>
      </c>
      <c r="BC7" s="46">
        <f ca="1">IFERROR(IF(ISNUMBER(BB7),INDEX('1.Locations'!D2:D11,BB7 + 1),NA()),NA())</f>
        <v>41.388061800000003</v>
      </c>
      <c r="BD7" s="46">
        <f ca="1">IFERROR(IF(ISNUMBER(BB7),INDEX('1.Locations'!E2:E11,BB7 + 1),NA()),NA())</f>
        <v>2.1506392999999999</v>
      </c>
      <c r="BE7" s="54">
        <f ca="1">IFERROR(IF(ISNUMBER(BB7),INDEX('2.Distances'!C2:C101,BB6*10+BB7+ 1) +BE6," ")," ")</f>
        <v>209.43600000000001</v>
      </c>
      <c r="BF7" s="55">
        <f ca="1">IFERROR(IF(ISNUMBER(BB7),'3.Vehicles'!F2 * INDEX('2.Distances'!D2:D101,BB6*10+BB7 + 1) +BF6," ")," ")</f>
        <v>9.8611111111111108E-2</v>
      </c>
      <c r="BG7" s="56">
        <f ca="1">IFERROR(IF(ISNUMBER(BB7),'3.Vehicles'!F2 * INDEX('2.Distances'!D2:D101,BB6*10+BB7 + 1) +BH6," ")," ")</f>
        <v>0.43888888888888883</v>
      </c>
      <c r="BH7" s="56" t="str">
        <f ca="1">IFERROR(IF(AND(BB5&lt;&gt;BB7,ISNUMBER(BG7)),INDEX('1.Locations'!I2:I11,BB7 + 1) + MAX(BG7,INDEX('1.Locations'!F2:F11,BB7 + 1))," ")," ")</f>
        <v xml:space="preserve"> </v>
      </c>
      <c r="BI7" s="55">
        <f ca="1">IFERROR(IF(AND(BA7 = BA5, BA8 = ""), BG7 - BH5, BH7 - BH5)," ")</f>
        <v>0.10555555555555551</v>
      </c>
      <c r="BJ7" s="46">
        <f ca="1">IFERROR(IF(ISNUMBER(BB7),INDEX('1.Locations'!L2:L11,BB7 + 1) + BJ6," ")," ")</f>
        <v>0</v>
      </c>
      <c r="BK7" s="54">
        <f ca="1">IFERROR(IF(ISNUMBER(BB7),INDEX('1.Locations'!J2:J11,BB7 + 1)," ")," ")</f>
        <v>5</v>
      </c>
      <c r="BL7" s="54">
        <f ca="1">IFERROR(IF(ISNUMBER(BB7),INDEX('1.Locations'!K2:K11,BB7 + 1)," ")," ")</f>
        <v>0</v>
      </c>
      <c r="BM7" s="54">
        <f ca="1">IFERROR(IF(ISNUMBER(BB7),IF(BA7 = BA5, 0, BK7 + BM6)," ")," ")</f>
        <v>0</v>
      </c>
      <c r="BN7" s="54">
        <f ca="1">IFERROR(IF(ISNUMBER(BB7),IF(BA8 = BA5, 0, IF(BA8 = "", 0, BN8 + BL8))," ")," ")</f>
        <v>0</v>
      </c>
      <c r="BO7" s="46">
        <f ca="1">IFERROR(IF(ISNUMBER(BB7),BM7 + BN7," ")," ")</f>
        <v>0</v>
      </c>
      <c r="BQ7" s="15">
        <v>2</v>
      </c>
      <c r="BR7" s="58" t="s">
        <v>65</v>
      </c>
      <c r="BS7" s="46">
        <f ca="1">IFERROR(MATCH(INDIRECT("BR7"),'1.Locations'!B2:B11, 0) - 1," ")</f>
        <v>9</v>
      </c>
      <c r="BT7" s="46">
        <f ca="1">IFERROR(IF(ISNUMBER(BS7),INDEX('1.Locations'!D2:D11,BS7 + 1),NA()),NA())</f>
        <v>42.702251840000002</v>
      </c>
      <c r="BU7" s="46">
        <f ca="1">IFERROR(IF(ISNUMBER(BS7),INDEX('1.Locations'!E2:E11,BS7 + 1),NA()),NA())</f>
        <v>0.797351849</v>
      </c>
      <c r="BV7" s="54">
        <f ca="1">IFERROR(IF(ISNUMBER(BS7),INDEX('2.Distances'!C2:C101,BS6*10+BS7+ 1) +BV6," ")," ")</f>
        <v>315.60500000000002</v>
      </c>
      <c r="BW7" s="55">
        <f ca="1">IFERROR(IF(ISNUMBER(BS7),'3.Vehicles'!F2 * INDEX('2.Distances'!D2:D101,BS6*10+BS7 + 1) +BW6," ")," ")</f>
        <v>0.16041666666666665</v>
      </c>
      <c r="BX7" s="56">
        <f ca="1">IFERROR(IF(ISNUMBER(BS7),'3.Vehicles'!F2 * INDEX('2.Distances'!D2:D101,BS6*10+BS7 + 1) +BY6," ")," ")</f>
        <v>0.50069444444444433</v>
      </c>
      <c r="BY7" s="56">
        <f ca="1">IFERROR(IF(AND(BS5&lt;&gt;BS7,ISNUMBER(BX7)),INDEX('1.Locations'!I2:I11,BS7 + 1) + MAX(BX7,INDEX('1.Locations'!F2:F11,BS7 + 1))," ")," ")</f>
        <v>0.50763888888888875</v>
      </c>
      <c r="BZ7" s="55">
        <f ca="1">IFERROR(IF(AND(BR7 = BR5, BR8 = ""), BX7 - BY5, BY7 - BY5)," ")</f>
        <v>0.17430555555555544</v>
      </c>
      <c r="CA7" s="46">
        <f ca="1">IFERROR(IF(ISNUMBER(BS7),INDEX('1.Locations'!L2:L11,BS7 + 1) + CA6," ")," ")</f>
        <v>0</v>
      </c>
      <c r="CB7" s="54">
        <f ca="1">IFERROR(IF(ISNUMBER(BS7),INDEX('1.Locations'!J2:J11,BS7 + 1)," ")," ")</f>
        <v>0</v>
      </c>
      <c r="CC7" s="54">
        <f ca="1">IFERROR(IF(ISNUMBER(BS7),INDEX('1.Locations'!K2:K11,BS7 + 1)," ")," ")</f>
        <v>86</v>
      </c>
      <c r="CD7" s="54">
        <f ca="1">IFERROR(IF(ISNUMBER(BS7),IF(BR7 = BR5, 0, CB7 + CD6)," ")," ")</f>
        <v>0</v>
      </c>
      <c r="CE7" s="54">
        <f ca="1">IFERROR(IF(ISNUMBER(BS7),IF(BR8 = BR5, 0, IF(BR8 = "", 0, CE8 + CC8))," ")," ")</f>
        <v>920</v>
      </c>
      <c r="CF7" s="46">
        <f ca="1">IFERROR(IF(ISNUMBER(BS7),CD7 + CE7," ")," ")</f>
        <v>920</v>
      </c>
    </row>
    <row r="8" spans="1:84" x14ac:dyDescent="0.35">
      <c r="A8" s="15">
        <v>3</v>
      </c>
      <c r="B8" s="53"/>
      <c r="C8" s="46" t="str">
        <f ca="1">IFERROR(MATCH(INDIRECT("B8"),'1.Locations'!B2:B11, 0) - 1," ")</f>
        <v xml:space="preserve"> </v>
      </c>
      <c r="D8" s="46" t="e">
        <f ca="1">IFERROR(IF(ISNUMBER(C8),INDEX('1.Locations'!D2:D11,C8 + 1),NA()),NA())</f>
        <v>#N/A</v>
      </c>
      <c r="E8" s="46" t="e">
        <f ca="1">IFERROR(IF(ISNUMBER(C8),INDEX('1.Locations'!E2:E11,C8 + 1),NA()),NA())</f>
        <v>#N/A</v>
      </c>
      <c r="F8" s="54" t="str">
        <f ca="1">IFERROR(IF(ISNUMBER(C8),INDEX('2.Distances'!C2:C101,C7*10+C8+ 1) +F7," ")," ")</f>
        <v xml:space="preserve"> </v>
      </c>
      <c r="G8" s="55" t="str">
        <f ca="1">IFERROR(IF(ISNUMBER(C8),'3.Vehicles'!F2 * INDEX('2.Distances'!D2:D101,C7*10+C8 + 1) +G7," ")," ")</f>
        <v xml:space="preserve"> </v>
      </c>
      <c r="H8" s="56" t="str">
        <f ca="1">IFERROR(IF(ISNUMBER(C8),'3.Vehicles'!F2 * INDEX('2.Distances'!D2:D101,C7*10+C8 + 1) +I7," ")," ")</f>
        <v xml:space="preserve"> </v>
      </c>
      <c r="I8" s="56" t="str">
        <f ca="1">IFERROR(IF(AND(C5&lt;&gt;C8,ISNUMBER(H8)),INDEX('1.Locations'!I2:I11,C8 + 1) + MAX(H8,INDEX('1.Locations'!F2:F11,C8 + 1))," ")," ")</f>
        <v xml:space="preserve"> </v>
      </c>
      <c r="J8" s="55" t="str">
        <f ca="1">IFERROR(IF(AND(B8 = B5, B9 = ""), H8 - I5, I8 - I5)," ")</f>
        <v xml:space="preserve"> </v>
      </c>
      <c r="K8" s="46" t="str">
        <f ca="1">IFERROR(IF(ISNUMBER(C8),INDEX('1.Locations'!L2:L11,C8 + 1) + K7," ")," ")</f>
        <v xml:space="preserve"> </v>
      </c>
      <c r="L8" s="54" t="str">
        <f ca="1">IFERROR(IF(ISNUMBER(C8),INDEX('1.Locations'!J2:J11,C8 + 1)," ")," ")</f>
        <v xml:space="preserve"> </v>
      </c>
      <c r="M8" s="54" t="str">
        <f ca="1">IFERROR(IF(ISNUMBER(C8),INDEX('1.Locations'!K2:K11,C8 + 1)," ")," ")</f>
        <v xml:space="preserve"> </v>
      </c>
      <c r="N8" s="54" t="str">
        <f ca="1">IFERROR(IF(ISNUMBER(C8),IF(B8 = B5, 0, L8 + N7)," ")," ")</f>
        <v xml:space="preserve"> </v>
      </c>
      <c r="O8" s="54" t="str">
        <f ca="1">IFERROR(IF(ISNUMBER(C8),IF(B9 = B5, 0, IF(B9 = "", 0, O9 + M9))," ")," ")</f>
        <v xml:space="preserve"> </v>
      </c>
      <c r="P8" s="46" t="str">
        <f ca="1">IFERROR(IF(ISNUMBER(C8),N8 + O8," ")," ")</f>
        <v xml:space="preserve"> </v>
      </c>
      <c r="R8" s="15">
        <v>3</v>
      </c>
      <c r="S8" s="53"/>
      <c r="T8" s="46" t="str">
        <f ca="1">IFERROR(MATCH(INDIRECT("S8"),'1.Locations'!B2:B11, 0) - 1," ")</f>
        <v xml:space="preserve"> </v>
      </c>
      <c r="U8" s="46" t="e">
        <f ca="1">IFERROR(IF(ISNUMBER(T8),INDEX('1.Locations'!D2:D11,T8 + 1),NA()),NA())</f>
        <v>#N/A</v>
      </c>
      <c r="V8" s="46" t="e">
        <f ca="1">IFERROR(IF(ISNUMBER(T8),INDEX('1.Locations'!E2:E11,T8 + 1),NA()),NA())</f>
        <v>#N/A</v>
      </c>
      <c r="W8" s="54" t="str">
        <f ca="1">IFERROR(IF(ISNUMBER(T8),INDEX('2.Distances'!C2:C101,T7*10+T8+ 1) +W7," ")," ")</f>
        <v xml:space="preserve"> </v>
      </c>
      <c r="X8" s="55" t="str">
        <f ca="1">IFERROR(IF(ISNUMBER(T8),'3.Vehicles'!F2 * INDEX('2.Distances'!D2:D101,T7*10+T8 + 1) +X7," ")," ")</f>
        <v xml:space="preserve"> </v>
      </c>
      <c r="Y8" s="56" t="str">
        <f ca="1">IFERROR(IF(ISNUMBER(T8),'3.Vehicles'!F2 * INDEX('2.Distances'!D2:D101,T7*10+T8 + 1) +Z7," ")," ")</f>
        <v xml:space="preserve"> </v>
      </c>
      <c r="Z8" s="56" t="str">
        <f ca="1">IFERROR(IF(AND(T5&lt;&gt;T8,ISNUMBER(Y8)),INDEX('1.Locations'!I2:I11,T8 + 1) + MAX(Y8,INDEX('1.Locations'!F2:F11,T8 + 1))," ")," ")</f>
        <v xml:space="preserve"> </v>
      </c>
      <c r="AA8" s="55" t="str">
        <f ca="1">IFERROR(IF(AND(S8 = S5, S9 = ""), Y8 - Z5, Z8 - Z5)," ")</f>
        <v xml:space="preserve"> </v>
      </c>
      <c r="AB8" s="46" t="str">
        <f ca="1">IFERROR(IF(ISNUMBER(T8),INDEX('1.Locations'!L2:L11,T8 + 1) + AB7," ")," ")</f>
        <v xml:space="preserve"> </v>
      </c>
      <c r="AC8" s="54" t="str">
        <f ca="1">IFERROR(IF(ISNUMBER(T8),INDEX('1.Locations'!J2:J11,T8 + 1)," ")," ")</f>
        <v xml:space="preserve"> </v>
      </c>
      <c r="AD8" s="54" t="str">
        <f ca="1">IFERROR(IF(ISNUMBER(T8),INDEX('1.Locations'!K2:K11,T8 + 1)," ")," ")</f>
        <v xml:space="preserve"> </v>
      </c>
      <c r="AE8" s="54" t="str">
        <f ca="1">IFERROR(IF(ISNUMBER(T8),IF(S8 = S5, 0, AC8 + AE7)," ")," ")</f>
        <v xml:space="preserve"> </v>
      </c>
      <c r="AF8" s="54" t="str">
        <f ca="1">IFERROR(IF(ISNUMBER(T8),IF(S9 = S5, 0, IF(S9 = "", 0, AF9 + AD9))," ")," ")</f>
        <v xml:space="preserve"> </v>
      </c>
      <c r="AG8" s="46" t="str">
        <f ca="1">IFERROR(IF(ISNUMBER(T8),AE8 + AF8," ")," ")</f>
        <v xml:space="preserve"> </v>
      </c>
      <c r="AI8" s="15">
        <v>3</v>
      </c>
      <c r="AJ8" s="53" t="s">
        <v>58</v>
      </c>
      <c r="AK8" s="46">
        <f ca="1">IFERROR(MATCH(INDIRECT("AJ8"),'1.Locations'!B2:B11, 0) - 1," ")</f>
        <v>2</v>
      </c>
      <c r="AL8" s="46">
        <f ca="1">IFERROR(IF(ISNUMBER(AK8),INDEX('1.Locations'!D2:D11,AK8 + 1),NA()),NA())</f>
        <v>41.123319000000002</v>
      </c>
      <c r="AM8" s="46">
        <f ca="1">IFERROR(IF(ISNUMBER(AK8),INDEX('1.Locations'!E2:E11,AK8 + 1),NA()),NA())</f>
        <v>1.246912</v>
      </c>
      <c r="AN8" s="54">
        <f ca="1">IFERROR(IF(ISNUMBER(AK8),INDEX('2.Distances'!C2:C101,AK7*10+AK8+ 1) +AN7," ")," ")</f>
        <v>270.40800000000002</v>
      </c>
      <c r="AO8" s="55">
        <f ca="1">IFERROR(IF(ISNUMBER(AK8),'3.Vehicles'!F2 * INDEX('2.Distances'!D2:D101,AK7*10+AK8 + 1) +AO7," ")," ")</f>
        <v>0.11319444444444444</v>
      </c>
      <c r="AP8" s="56">
        <f ca="1">IFERROR(IF(ISNUMBER(AK8),'3.Vehicles'!F2 * INDEX('2.Distances'!D2:D101,AK7*10+AK8 + 1) +AQ7," ")," ")</f>
        <v>0.46041666666666659</v>
      </c>
      <c r="AQ8" s="56">
        <f ca="1">IFERROR(IF(AND(AK5&lt;&gt;AK8,ISNUMBER(AP8)),INDEX('1.Locations'!I2:I11,AK8 + 1) + MAX(AP8,INDEX('1.Locations'!F2:F11,AK8 + 1))," ")," ")</f>
        <v>0.46736111111111101</v>
      </c>
      <c r="AR8" s="55">
        <f ca="1">IFERROR(IF(AND(AJ8 = AJ5, AJ9 = ""), AP8 - AQ5, AQ8 - AQ5)," ")</f>
        <v>0.13402777777777769</v>
      </c>
      <c r="AS8" s="46">
        <f ca="1">IFERROR(IF(ISNUMBER(AK8),INDEX('1.Locations'!L2:L11,AK8 + 1) + AS7," ")," ")</f>
        <v>0</v>
      </c>
      <c r="AT8" s="54">
        <f ca="1">IFERROR(IF(ISNUMBER(AK8),INDEX('1.Locations'!J2:J11,AK8 + 1)," ")," ")</f>
        <v>0</v>
      </c>
      <c r="AU8" s="54">
        <f ca="1">IFERROR(IF(ISNUMBER(AK8),INDEX('1.Locations'!K2:K11,AK8 + 1)," ")," ")</f>
        <v>1049</v>
      </c>
      <c r="AV8" s="54">
        <f ca="1">IFERROR(IF(ISNUMBER(AK8),IF(AJ8 = AJ5, 0, AT8 + AV7)," ")," ")</f>
        <v>0</v>
      </c>
      <c r="AW8" s="54">
        <f ca="1">IFERROR(IF(ISNUMBER(AK8),IF(AJ9 = AJ5, 0, IF(AJ9 = "", 0, AW9 + AU9))," ")," ")</f>
        <v>0</v>
      </c>
      <c r="AX8" s="46">
        <f ca="1">IFERROR(IF(ISNUMBER(AK8),AV8 + AW8," ")," ")</f>
        <v>0</v>
      </c>
      <c r="AZ8" s="15">
        <v>3</v>
      </c>
      <c r="BA8" s="53"/>
      <c r="BB8" s="46" t="str">
        <f ca="1">IFERROR(MATCH(INDIRECT("BA8"),'1.Locations'!B2:B11, 0) - 1," ")</f>
        <v xml:space="preserve"> </v>
      </c>
      <c r="BC8" s="46" t="e">
        <f ca="1">IFERROR(IF(ISNUMBER(BB8),INDEX('1.Locations'!D2:D11,BB8 + 1),NA()),NA())</f>
        <v>#N/A</v>
      </c>
      <c r="BD8" s="46" t="e">
        <f ca="1">IFERROR(IF(ISNUMBER(BB8),INDEX('1.Locations'!E2:E11,BB8 + 1),NA()),NA())</f>
        <v>#N/A</v>
      </c>
      <c r="BE8" s="54" t="str">
        <f ca="1">IFERROR(IF(ISNUMBER(BB8),INDEX('2.Distances'!C2:C101,BB7*10+BB8+ 1) +BE7," ")," ")</f>
        <v xml:space="preserve"> </v>
      </c>
      <c r="BF8" s="55" t="str">
        <f ca="1">IFERROR(IF(ISNUMBER(BB8),'3.Vehicles'!F2 * INDEX('2.Distances'!D2:D101,BB7*10+BB8 + 1) +BF7," ")," ")</f>
        <v xml:space="preserve"> </v>
      </c>
      <c r="BG8" s="56" t="str">
        <f ca="1">IFERROR(IF(ISNUMBER(BB8),'3.Vehicles'!F2 * INDEX('2.Distances'!D2:D101,BB7*10+BB8 + 1) +BH7," ")," ")</f>
        <v xml:space="preserve"> </v>
      </c>
      <c r="BH8" s="56" t="str">
        <f ca="1">IFERROR(IF(AND(BB5&lt;&gt;BB8,ISNUMBER(BG8)),INDEX('1.Locations'!I2:I11,BB8 + 1) + MAX(BG8,INDEX('1.Locations'!F2:F11,BB8 + 1))," ")," ")</f>
        <v xml:space="preserve"> </v>
      </c>
      <c r="BI8" s="55" t="str">
        <f ca="1">IFERROR(IF(AND(BA8 = BA5, BA9 = ""), BG8 - BH5, BH8 - BH5)," ")</f>
        <v xml:space="preserve"> </v>
      </c>
      <c r="BJ8" s="46" t="str">
        <f ca="1">IFERROR(IF(ISNUMBER(BB8),INDEX('1.Locations'!L2:L11,BB8 + 1) + BJ7," ")," ")</f>
        <v xml:space="preserve"> </v>
      </c>
      <c r="BK8" s="54" t="str">
        <f ca="1">IFERROR(IF(ISNUMBER(BB8),INDEX('1.Locations'!J2:J11,BB8 + 1)," ")," ")</f>
        <v xml:space="preserve"> </v>
      </c>
      <c r="BL8" s="54" t="str">
        <f ca="1">IFERROR(IF(ISNUMBER(BB8),INDEX('1.Locations'!K2:K11,BB8 + 1)," ")," ")</f>
        <v xml:space="preserve"> </v>
      </c>
      <c r="BM8" s="54" t="str">
        <f ca="1">IFERROR(IF(ISNUMBER(BB8),IF(BA8 = BA5, 0, BK8 + BM7)," ")," ")</f>
        <v xml:space="preserve"> </v>
      </c>
      <c r="BN8" s="54" t="str">
        <f ca="1">IFERROR(IF(ISNUMBER(BB8),IF(BA9 = BA5, 0, IF(BA9 = "", 0, BN9 + BL9))," ")," ")</f>
        <v xml:space="preserve"> </v>
      </c>
      <c r="BO8" s="46" t="str">
        <f ca="1">IFERROR(IF(ISNUMBER(BB8),BM8 + BN8," ")," ")</f>
        <v xml:space="preserve"> </v>
      </c>
      <c r="BQ8" s="15">
        <v>3</v>
      </c>
      <c r="BR8" s="53" t="s">
        <v>60</v>
      </c>
      <c r="BS8" s="46">
        <f ca="1">IFERROR(MATCH(INDIRECT("BR8"),'1.Locations'!B2:B11, 0) - 1," ")</f>
        <v>4</v>
      </c>
      <c r="BT8" s="46">
        <f ca="1">IFERROR(IF(ISNUMBER(BS8),INDEX('1.Locations'!D2:D11,BS8 + 1),NA()),NA())</f>
        <v>41.730961100000002</v>
      </c>
      <c r="BU8" s="46">
        <f ca="1">IFERROR(IF(ISNUMBER(BS8),INDEX('1.Locations'!E2:E11,BS8 + 1),NA()),NA())</f>
        <v>1.8249998999999999</v>
      </c>
      <c r="BV8" s="54">
        <f ca="1">IFERROR(IF(ISNUMBER(BS8),INDEX('2.Distances'!C2:C101,BS7*10+BS8+ 1) +BV7," ")," ")</f>
        <v>532.56500000000005</v>
      </c>
      <c r="BW8" s="55">
        <f ca="1">IFERROR(IF(ISNUMBER(BS8),'3.Vehicles'!F2 * INDEX('2.Distances'!D2:D101,BS7*10+BS8 + 1) +BW7," ")," ")</f>
        <v>0.29513888888888884</v>
      </c>
      <c r="BX8" s="56">
        <f ca="1">IFERROR(IF(ISNUMBER(BS8),'3.Vehicles'!F2 * INDEX('2.Distances'!D2:D101,BS7*10+BS8 + 1) +BY7," ")," ")</f>
        <v>0.64236111111111094</v>
      </c>
      <c r="BY8" s="56">
        <f ca="1">IFERROR(IF(AND(BS5&lt;&gt;BS8,ISNUMBER(BX8)),INDEX('1.Locations'!I2:I11,BS8 + 1) + MAX(BX8,INDEX('1.Locations'!F2:F11,BS8 + 1))," ")," ")</f>
        <v>0.64930555555555536</v>
      </c>
      <c r="BZ8" s="55">
        <f ca="1">IFERROR(IF(AND(BR8 = BR5, BR9 = ""), BX8 - BY5, BY8 - BY5)," ")</f>
        <v>0.31597222222222204</v>
      </c>
      <c r="CA8" s="46">
        <f ca="1">IFERROR(IF(ISNUMBER(BS8),INDEX('1.Locations'!L2:L11,BS8 + 1) + CA7," ")," ")</f>
        <v>0</v>
      </c>
      <c r="CB8" s="54">
        <f ca="1">IFERROR(IF(ISNUMBER(BS8),INDEX('1.Locations'!J2:J11,BS8 + 1)," ")," ")</f>
        <v>0</v>
      </c>
      <c r="CC8" s="54">
        <f ca="1">IFERROR(IF(ISNUMBER(BS8),INDEX('1.Locations'!K2:K11,BS8 + 1)," ")," ")</f>
        <v>920</v>
      </c>
      <c r="CD8" s="54">
        <f ca="1">IFERROR(IF(ISNUMBER(BS8),IF(BR8 = BR5, 0, CB8 + CD7)," ")," ")</f>
        <v>0</v>
      </c>
      <c r="CE8" s="54">
        <f ca="1">IFERROR(IF(ISNUMBER(BS8),IF(BR9 = BR5, 0, IF(BR9 = "", 0, CE9 + CC9))," ")," ")</f>
        <v>0</v>
      </c>
      <c r="CF8" s="46">
        <f ca="1">IFERROR(IF(ISNUMBER(BS8),CD8 + CE8," ")," ")</f>
        <v>0</v>
      </c>
    </row>
    <row r="9" spans="1:84" x14ac:dyDescent="0.35">
      <c r="A9" s="15">
        <v>4</v>
      </c>
      <c r="B9" s="58"/>
      <c r="C9" s="46" t="str">
        <f ca="1">IFERROR(MATCH(INDIRECT("B9"),'1.Locations'!B2:B11, 0) - 1," ")</f>
        <v xml:space="preserve"> </v>
      </c>
      <c r="D9" s="46" t="e">
        <f ca="1">IFERROR(IF(ISNUMBER(C9),INDEX('1.Locations'!D2:D11,C9 + 1),NA()),NA())</f>
        <v>#N/A</v>
      </c>
      <c r="E9" s="46" t="e">
        <f ca="1">IFERROR(IF(ISNUMBER(C9),INDEX('1.Locations'!E2:E11,C9 + 1),NA()),NA())</f>
        <v>#N/A</v>
      </c>
      <c r="F9" s="54" t="str">
        <f ca="1">IFERROR(IF(ISNUMBER(C9),INDEX('2.Distances'!C2:C101,C8*10+C9+ 1) +F8," ")," ")</f>
        <v xml:space="preserve"> </v>
      </c>
      <c r="G9" s="55" t="str">
        <f ca="1">IFERROR(IF(ISNUMBER(C9),'3.Vehicles'!F2 * INDEX('2.Distances'!D2:D101,C8*10+C9 + 1) +G8," ")," ")</f>
        <v xml:space="preserve"> </v>
      </c>
      <c r="H9" s="56" t="str">
        <f ca="1">IFERROR(IF(ISNUMBER(C9),'3.Vehicles'!F2 * INDEX('2.Distances'!D2:D101,C8*10+C9 + 1) +I8," ")," ")</f>
        <v xml:space="preserve"> </v>
      </c>
      <c r="I9" s="56" t="str">
        <f ca="1">IFERROR(IF(AND(C5&lt;&gt;C9,ISNUMBER(H9)),INDEX('1.Locations'!I2:I11,C9 + 1) + MAX(H9,INDEX('1.Locations'!F2:F11,C9 + 1))," ")," ")</f>
        <v xml:space="preserve"> </v>
      </c>
      <c r="J9" s="55" t="str">
        <f ca="1">IFERROR(IF(AND(B9 = B5, B10 = ""), H9 - I5, I9 - I5)," ")</f>
        <v xml:space="preserve"> </v>
      </c>
      <c r="K9" s="46" t="str">
        <f ca="1">IFERROR(IF(ISNUMBER(C9),INDEX('1.Locations'!L2:L11,C9 + 1) + K8," ")," ")</f>
        <v xml:space="preserve"> </v>
      </c>
      <c r="L9" s="54" t="str">
        <f ca="1">IFERROR(IF(ISNUMBER(C9),INDEX('1.Locations'!J2:J11,C9 + 1)," ")," ")</f>
        <v xml:space="preserve"> </v>
      </c>
      <c r="M9" s="54" t="str">
        <f ca="1">IFERROR(IF(ISNUMBER(C9),INDEX('1.Locations'!K2:K11,C9 + 1)," ")," ")</f>
        <v xml:space="preserve"> </v>
      </c>
      <c r="N9" s="54" t="str">
        <f ca="1">IFERROR(IF(ISNUMBER(C9),IF(B9 = B5, 0, L9 + N8)," ")," ")</f>
        <v xml:space="preserve"> </v>
      </c>
      <c r="O9" s="54" t="str">
        <f ca="1">IFERROR(IF(ISNUMBER(C9),IF(B10 = B5, 0, IF(B10 = "", 0, O10 + M10))," ")," ")</f>
        <v xml:space="preserve"> </v>
      </c>
      <c r="P9" s="46" t="str">
        <f ca="1">IFERROR(IF(ISNUMBER(C9),N9 + O9," ")," ")</f>
        <v xml:space="preserve"> </v>
      </c>
      <c r="R9" s="15">
        <v>4</v>
      </c>
      <c r="S9" s="58"/>
      <c r="T9" s="46" t="str">
        <f ca="1">IFERROR(MATCH(INDIRECT("S9"),'1.Locations'!B2:B11, 0) - 1," ")</f>
        <v xml:space="preserve"> </v>
      </c>
      <c r="U9" s="46" t="e">
        <f ca="1">IFERROR(IF(ISNUMBER(T9),INDEX('1.Locations'!D2:D11,T9 + 1),NA()),NA())</f>
        <v>#N/A</v>
      </c>
      <c r="V9" s="46" t="e">
        <f ca="1">IFERROR(IF(ISNUMBER(T9),INDEX('1.Locations'!E2:E11,T9 + 1),NA()),NA())</f>
        <v>#N/A</v>
      </c>
      <c r="W9" s="54" t="str">
        <f ca="1">IFERROR(IF(ISNUMBER(T9),INDEX('2.Distances'!C2:C101,T8*10+T9+ 1) +W8," ")," ")</f>
        <v xml:space="preserve"> </v>
      </c>
      <c r="X9" s="55" t="str">
        <f ca="1">IFERROR(IF(ISNUMBER(T9),'3.Vehicles'!F2 * INDEX('2.Distances'!D2:D101,T8*10+T9 + 1) +X8," ")," ")</f>
        <v xml:space="preserve"> </v>
      </c>
      <c r="Y9" s="56" t="str">
        <f ca="1">IFERROR(IF(ISNUMBER(T9),'3.Vehicles'!F2 * INDEX('2.Distances'!D2:D101,T8*10+T9 + 1) +Z8," ")," ")</f>
        <v xml:space="preserve"> </v>
      </c>
      <c r="Z9" s="56" t="str">
        <f ca="1">IFERROR(IF(AND(T5&lt;&gt;T9,ISNUMBER(Y9)),INDEX('1.Locations'!I2:I11,T9 + 1) + MAX(Y9,INDEX('1.Locations'!F2:F11,T9 + 1))," ")," ")</f>
        <v xml:space="preserve"> </v>
      </c>
      <c r="AA9" s="55" t="str">
        <f ca="1">IFERROR(IF(AND(S9 = S5, S10 = ""), Y9 - Z5, Z9 - Z5)," ")</f>
        <v xml:space="preserve"> </v>
      </c>
      <c r="AB9" s="46" t="str">
        <f ca="1">IFERROR(IF(ISNUMBER(T9),INDEX('1.Locations'!L2:L11,T9 + 1) + AB8," ")," ")</f>
        <v xml:space="preserve"> </v>
      </c>
      <c r="AC9" s="54" t="str">
        <f ca="1">IFERROR(IF(ISNUMBER(T9),INDEX('1.Locations'!J2:J11,T9 + 1)," ")," ")</f>
        <v xml:space="preserve"> </v>
      </c>
      <c r="AD9" s="54" t="str">
        <f ca="1">IFERROR(IF(ISNUMBER(T9),INDEX('1.Locations'!K2:K11,T9 + 1)," ")," ")</f>
        <v xml:space="preserve"> </v>
      </c>
      <c r="AE9" s="54" t="str">
        <f ca="1">IFERROR(IF(ISNUMBER(T9),IF(S9 = S5, 0, AC9 + AE8)," ")," ")</f>
        <v xml:space="preserve"> </v>
      </c>
      <c r="AF9" s="54" t="str">
        <f ca="1">IFERROR(IF(ISNUMBER(T9),IF(S10 = S5, 0, IF(S10 = "", 0, AF10 + AD10))," ")," ")</f>
        <v xml:space="preserve"> </v>
      </c>
      <c r="AG9" s="46" t="str">
        <f ca="1">IFERROR(IF(ISNUMBER(T9),AE9 + AF9," ")," ")</f>
        <v xml:space="preserve"> </v>
      </c>
      <c r="AI9" s="15">
        <v>4</v>
      </c>
      <c r="AJ9" s="58" t="s">
        <v>54</v>
      </c>
      <c r="AK9" s="46">
        <f ca="1">IFERROR(MATCH(INDIRECT("AJ9"),'1.Locations'!B2:B11, 0) - 1," ")</f>
        <v>0</v>
      </c>
      <c r="AL9" s="46">
        <f ca="1">IFERROR(IF(ISNUMBER(AK9),INDEX('1.Locations'!D2:D11,AK9 + 1),NA()),NA())</f>
        <v>41.388061800000003</v>
      </c>
      <c r="AM9" s="46">
        <f ca="1">IFERROR(IF(ISNUMBER(AK9),INDEX('1.Locations'!E2:E11,AK9 + 1),NA()),NA())</f>
        <v>2.1506392999999999</v>
      </c>
      <c r="AN9" s="54">
        <f ca="1">IFERROR(IF(ISNUMBER(AK9),INDEX('2.Distances'!C2:C101,AK8*10+AK9+ 1) +AN8," ")," ")</f>
        <v>364.59000000000003</v>
      </c>
      <c r="AO9" s="55">
        <f ca="1">IFERROR(IF(ISNUMBER(AK9),'3.Vehicles'!F2 * INDEX('2.Distances'!D2:D101,AK8*10+AK9 + 1) +AO8," ")," ")</f>
        <v>0.15555555555555556</v>
      </c>
      <c r="AP9" s="56">
        <f ca="1">IFERROR(IF(ISNUMBER(AK9),'3.Vehicles'!F2 * INDEX('2.Distances'!D2:D101,AK8*10+AK9 + 1) +AQ8," ")," ")</f>
        <v>0.50972222222222208</v>
      </c>
      <c r="AQ9" s="56" t="str">
        <f ca="1">IFERROR(IF(AND(AK5&lt;&gt;AK9,ISNUMBER(AP9)),INDEX('1.Locations'!I2:I11,AK9 + 1) + MAX(AP9,INDEX('1.Locations'!F2:F11,AK9 + 1))," ")," ")</f>
        <v xml:space="preserve"> </v>
      </c>
      <c r="AR9" s="55">
        <f ca="1">IFERROR(IF(AND(AJ9 = AJ5, AJ10 = ""), AP9 - AQ5, AQ9 - AQ5)," ")</f>
        <v>0.17638888888888876</v>
      </c>
      <c r="AS9" s="46">
        <f ca="1">IFERROR(IF(ISNUMBER(AK9),INDEX('1.Locations'!L2:L11,AK9 + 1) + AS8," ")," ")</f>
        <v>0</v>
      </c>
      <c r="AT9" s="54">
        <f ca="1">IFERROR(IF(ISNUMBER(AK9),INDEX('1.Locations'!J2:J11,AK9 + 1)," ")," ")</f>
        <v>5</v>
      </c>
      <c r="AU9" s="54">
        <f ca="1">IFERROR(IF(ISNUMBER(AK9),INDEX('1.Locations'!K2:K11,AK9 + 1)," ")," ")</f>
        <v>0</v>
      </c>
      <c r="AV9" s="54">
        <f ca="1">IFERROR(IF(ISNUMBER(AK9),IF(AJ9 = AJ5, 0, AT9 + AV8)," ")," ")</f>
        <v>0</v>
      </c>
      <c r="AW9" s="54">
        <f ca="1">IFERROR(IF(ISNUMBER(AK9),IF(AJ10 = AJ5, 0, IF(AJ10 = "", 0, AW10 + AU10))," ")," ")</f>
        <v>0</v>
      </c>
      <c r="AX9" s="46">
        <f ca="1">IFERROR(IF(ISNUMBER(AK9),AV9 + AW9," ")," ")</f>
        <v>0</v>
      </c>
      <c r="AZ9" s="15">
        <v>4</v>
      </c>
      <c r="BA9" s="58"/>
      <c r="BB9" s="46" t="str">
        <f ca="1">IFERROR(MATCH(INDIRECT("BA9"),'1.Locations'!B2:B11, 0) - 1," ")</f>
        <v xml:space="preserve"> </v>
      </c>
      <c r="BC9" s="46" t="e">
        <f ca="1">IFERROR(IF(ISNUMBER(BB9),INDEX('1.Locations'!D2:D11,BB9 + 1),NA()),NA())</f>
        <v>#N/A</v>
      </c>
      <c r="BD9" s="46" t="e">
        <f ca="1">IFERROR(IF(ISNUMBER(BB9),INDEX('1.Locations'!E2:E11,BB9 + 1),NA()),NA())</f>
        <v>#N/A</v>
      </c>
      <c r="BE9" s="54" t="str">
        <f ca="1">IFERROR(IF(ISNUMBER(BB9),INDEX('2.Distances'!C2:C101,BB8*10+BB9+ 1) +BE8," ")," ")</f>
        <v xml:space="preserve"> </v>
      </c>
      <c r="BF9" s="55" t="str">
        <f ca="1">IFERROR(IF(ISNUMBER(BB9),'3.Vehicles'!F2 * INDEX('2.Distances'!D2:D101,BB8*10+BB9 + 1) +BF8," ")," ")</f>
        <v xml:space="preserve"> </v>
      </c>
      <c r="BG9" s="56" t="str">
        <f ca="1">IFERROR(IF(ISNUMBER(BB9),'3.Vehicles'!F2 * INDEX('2.Distances'!D2:D101,BB8*10+BB9 + 1) +BH8," ")," ")</f>
        <v xml:space="preserve"> </v>
      </c>
      <c r="BH9" s="56" t="str">
        <f ca="1">IFERROR(IF(AND(BB5&lt;&gt;BB9,ISNUMBER(BG9)),INDEX('1.Locations'!I2:I11,BB9 + 1) + MAX(BG9,INDEX('1.Locations'!F2:F11,BB9 + 1))," ")," ")</f>
        <v xml:space="preserve"> </v>
      </c>
      <c r="BI9" s="55" t="str">
        <f ca="1">IFERROR(IF(AND(BA9 = BA5, BA10 = ""), BG9 - BH5, BH9 - BH5)," ")</f>
        <v xml:space="preserve"> </v>
      </c>
      <c r="BJ9" s="46" t="str">
        <f ca="1">IFERROR(IF(ISNUMBER(BB9),INDEX('1.Locations'!L2:L11,BB9 + 1) + BJ8," ")," ")</f>
        <v xml:space="preserve"> </v>
      </c>
      <c r="BK9" s="54" t="str">
        <f ca="1">IFERROR(IF(ISNUMBER(BB9),INDEX('1.Locations'!J2:J11,BB9 + 1)," ")," ")</f>
        <v xml:space="preserve"> </v>
      </c>
      <c r="BL9" s="54" t="str">
        <f ca="1">IFERROR(IF(ISNUMBER(BB9),INDEX('1.Locations'!K2:K11,BB9 + 1)," ")," ")</f>
        <v xml:space="preserve"> </v>
      </c>
      <c r="BM9" s="54" t="str">
        <f ca="1">IFERROR(IF(ISNUMBER(BB9),IF(BA9 = BA5, 0, BK9 + BM8)," ")," ")</f>
        <v xml:space="preserve"> </v>
      </c>
      <c r="BN9" s="54" t="str">
        <f ca="1">IFERROR(IF(ISNUMBER(BB9),IF(BA10 = BA5, 0, IF(BA10 = "", 0, BN10 + BL10))," ")," ")</f>
        <v xml:space="preserve"> </v>
      </c>
      <c r="BO9" s="46" t="str">
        <f ca="1">IFERROR(IF(ISNUMBER(BB9),BM9 + BN9," ")," ")</f>
        <v xml:space="preserve"> </v>
      </c>
      <c r="BQ9" s="15">
        <v>4</v>
      </c>
      <c r="BR9" s="58" t="s">
        <v>54</v>
      </c>
      <c r="BS9" s="46">
        <f ca="1">IFERROR(MATCH(INDIRECT("BR9"),'1.Locations'!B2:B11, 0) - 1," ")</f>
        <v>0</v>
      </c>
      <c r="BT9" s="46">
        <f ca="1">IFERROR(IF(ISNUMBER(BS9),INDEX('1.Locations'!D2:D11,BS9 + 1),NA()),NA())</f>
        <v>41.388061800000003</v>
      </c>
      <c r="BU9" s="46">
        <f ca="1">IFERROR(IF(ISNUMBER(BS9),INDEX('1.Locations'!E2:E11,BS9 + 1),NA()),NA())</f>
        <v>2.1506392999999999</v>
      </c>
      <c r="BV9" s="54">
        <f ca="1">IFERROR(IF(ISNUMBER(BS9),INDEX('2.Distances'!C2:C101,BS8*10+BS9+ 1) +BV8," ")," ")</f>
        <v>589.92500000000007</v>
      </c>
      <c r="BW9" s="55">
        <f ca="1">IFERROR(IF(ISNUMBER(BS9),'3.Vehicles'!F2 * INDEX('2.Distances'!D2:D101,BS8*10+BS9 + 1) +BW8," ")," ")</f>
        <v>0.32777777777777772</v>
      </c>
      <c r="BX9" s="56">
        <f ca="1">IFERROR(IF(ISNUMBER(BS9),'3.Vehicles'!F2 * INDEX('2.Distances'!D2:D101,BS8*10+BS9 + 1) +BY8," ")," ")</f>
        <v>0.68194444444444424</v>
      </c>
      <c r="BY9" s="56" t="str">
        <f ca="1">IFERROR(IF(AND(BS5&lt;&gt;BS9,ISNUMBER(BX9)),INDEX('1.Locations'!I2:I11,BS9 + 1) + MAX(BX9,INDEX('1.Locations'!F2:F11,BS9 + 1))," ")," ")</f>
        <v xml:space="preserve"> </v>
      </c>
      <c r="BZ9" s="55">
        <f ca="1">IFERROR(IF(AND(BR9 = BR5, BR10 = ""), BX9 - BY5, BY9 - BY5)," ")</f>
        <v>0.34861111111111093</v>
      </c>
      <c r="CA9" s="46">
        <f ca="1">IFERROR(IF(ISNUMBER(BS9),INDEX('1.Locations'!L2:L11,BS9 + 1) + CA8," ")," ")</f>
        <v>0</v>
      </c>
      <c r="CB9" s="54">
        <f ca="1">IFERROR(IF(ISNUMBER(BS9),INDEX('1.Locations'!J2:J11,BS9 + 1)," ")," ")</f>
        <v>5</v>
      </c>
      <c r="CC9" s="54">
        <f ca="1">IFERROR(IF(ISNUMBER(BS9),INDEX('1.Locations'!K2:K11,BS9 + 1)," ")," ")</f>
        <v>0</v>
      </c>
      <c r="CD9" s="54">
        <f ca="1">IFERROR(IF(ISNUMBER(BS9),IF(BR9 = BR5, 0, CB9 + CD8)," ")," ")</f>
        <v>0</v>
      </c>
      <c r="CE9" s="54">
        <f ca="1">IFERROR(IF(ISNUMBER(BS9),IF(BR10 = BR5, 0, IF(BR10 = "", 0, CE10 + CC10))," ")," ")</f>
        <v>0</v>
      </c>
      <c r="CF9" s="46">
        <f ca="1">IFERROR(IF(ISNUMBER(BS9),CD9 + CE9," ")," ")</f>
        <v>0</v>
      </c>
    </row>
    <row r="10" spans="1:84" x14ac:dyDescent="0.35">
      <c r="A10" s="15">
        <v>5</v>
      </c>
      <c r="B10" s="53"/>
      <c r="C10" s="46" t="str">
        <f ca="1">IFERROR(MATCH(INDIRECT("B10"),'1.Locations'!B2:B11, 0) - 1," ")</f>
        <v xml:space="preserve"> </v>
      </c>
      <c r="D10" s="46" t="e">
        <f ca="1">IFERROR(IF(ISNUMBER(C10),INDEX('1.Locations'!D2:D11,C10 + 1),NA()),NA())</f>
        <v>#N/A</v>
      </c>
      <c r="E10" s="46" t="e">
        <f ca="1">IFERROR(IF(ISNUMBER(C10),INDEX('1.Locations'!E2:E11,C10 + 1),NA()),NA())</f>
        <v>#N/A</v>
      </c>
      <c r="F10" s="54" t="str">
        <f ca="1">IFERROR(IF(ISNUMBER(C10),INDEX('2.Distances'!C2:C101,C9*10+C10+ 1) +F9," ")," ")</f>
        <v xml:space="preserve"> </v>
      </c>
      <c r="G10" s="55" t="str">
        <f ca="1">IFERROR(IF(ISNUMBER(C10),'3.Vehicles'!F2 * INDEX('2.Distances'!D2:D101,C9*10+C10 + 1) +G9," ")," ")</f>
        <v xml:space="preserve"> </v>
      </c>
      <c r="H10" s="56" t="str">
        <f ca="1">IFERROR(IF(ISNUMBER(C10),'3.Vehicles'!F2 * INDEX('2.Distances'!D2:D101,C9*10+C10 + 1) +I9," ")," ")</f>
        <v xml:space="preserve"> </v>
      </c>
      <c r="I10" s="56" t="str">
        <f ca="1">IFERROR(IF(AND(C5&lt;&gt;C10,ISNUMBER(H10)),INDEX('1.Locations'!I2:I11,C10 + 1) + MAX(H10,INDEX('1.Locations'!F2:F11,C10 + 1))," ")," ")</f>
        <v xml:space="preserve"> </v>
      </c>
      <c r="J10" s="55" t="str">
        <f ca="1">IFERROR(IF(AND(B10 = B5, B11 = ""), H10 - I5, I10 - I5)," ")</f>
        <v xml:space="preserve"> </v>
      </c>
      <c r="K10" s="46" t="str">
        <f ca="1">IFERROR(IF(ISNUMBER(C10),INDEX('1.Locations'!L2:L11,C10 + 1) + K9," ")," ")</f>
        <v xml:space="preserve"> </v>
      </c>
      <c r="L10" s="54" t="str">
        <f ca="1">IFERROR(IF(ISNUMBER(C10),INDEX('1.Locations'!J2:J11,C10 + 1)," ")," ")</f>
        <v xml:space="preserve"> </v>
      </c>
      <c r="M10" s="54" t="str">
        <f ca="1">IFERROR(IF(ISNUMBER(C10),INDEX('1.Locations'!K2:K11,C10 + 1)," ")," ")</f>
        <v xml:space="preserve"> </v>
      </c>
      <c r="N10" s="54" t="str">
        <f ca="1">IFERROR(IF(ISNUMBER(C10),IF(B10 = B5, 0, L10 + N9)," ")," ")</f>
        <v xml:space="preserve"> </v>
      </c>
      <c r="O10" s="54" t="str">
        <f ca="1">IFERROR(IF(ISNUMBER(C10),IF(B11 = B5, 0, IF(B11 = "", 0, O11 + M11))," ")," ")</f>
        <v xml:space="preserve"> </v>
      </c>
      <c r="P10" s="46" t="str">
        <f ca="1">IFERROR(IF(ISNUMBER(C10),N10 + O10," ")," ")</f>
        <v xml:space="preserve"> </v>
      </c>
      <c r="R10" s="15">
        <v>5</v>
      </c>
      <c r="S10" s="53"/>
      <c r="T10" s="46" t="str">
        <f ca="1">IFERROR(MATCH(INDIRECT("S10"),'1.Locations'!B2:B11, 0) - 1," ")</f>
        <v xml:space="preserve"> </v>
      </c>
      <c r="U10" s="46" t="e">
        <f ca="1">IFERROR(IF(ISNUMBER(T10),INDEX('1.Locations'!D2:D11,T10 + 1),NA()),NA())</f>
        <v>#N/A</v>
      </c>
      <c r="V10" s="46" t="e">
        <f ca="1">IFERROR(IF(ISNUMBER(T10),INDEX('1.Locations'!E2:E11,T10 + 1),NA()),NA())</f>
        <v>#N/A</v>
      </c>
      <c r="W10" s="54" t="str">
        <f ca="1">IFERROR(IF(ISNUMBER(T10),INDEX('2.Distances'!C2:C101,T9*10+T10+ 1) +W9," ")," ")</f>
        <v xml:space="preserve"> </v>
      </c>
      <c r="X10" s="55" t="str">
        <f ca="1">IFERROR(IF(ISNUMBER(T10),'3.Vehicles'!F2 * INDEX('2.Distances'!D2:D101,T9*10+T10 + 1) +X9," ")," ")</f>
        <v xml:space="preserve"> </v>
      </c>
      <c r="Y10" s="56" t="str">
        <f ca="1">IFERROR(IF(ISNUMBER(T10),'3.Vehicles'!F2 * INDEX('2.Distances'!D2:D101,T9*10+T10 + 1) +Z9," ")," ")</f>
        <v xml:space="preserve"> </v>
      </c>
      <c r="Z10" s="56" t="str">
        <f ca="1">IFERROR(IF(AND(T5&lt;&gt;T10,ISNUMBER(Y10)),INDEX('1.Locations'!I2:I11,T10 + 1) + MAX(Y10,INDEX('1.Locations'!F2:F11,T10 + 1))," ")," ")</f>
        <v xml:space="preserve"> </v>
      </c>
      <c r="AA10" s="55" t="str">
        <f ca="1">IFERROR(IF(AND(S10 = S5, S11 = ""), Y10 - Z5, Z10 - Z5)," ")</f>
        <v xml:space="preserve"> </v>
      </c>
      <c r="AB10" s="46" t="str">
        <f ca="1">IFERROR(IF(ISNUMBER(T10),INDEX('1.Locations'!L2:L11,T10 + 1) + AB9," ")," ")</f>
        <v xml:space="preserve"> </v>
      </c>
      <c r="AC10" s="54" t="str">
        <f ca="1">IFERROR(IF(ISNUMBER(T10),INDEX('1.Locations'!J2:J11,T10 + 1)," ")," ")</f>
        <v xml:space="preserve"> </v>
      </c>
      <c r="AD10" s="54" t="str">
        <f ca="1">IFERROR(IF(ISNUMBER(T10),INDEX('1.Locations'!K2:K11,T10 + 1)," ")," ")</f>
        <v xml:space="preserve"> </v>
      </c>
      <c r="AE10" s="54" t="str">
        <f ca="1">IFERROR(IF(ISNUMBER(T10),IF(S10 = S5, 0, AC10 + AE9)," ")," ")</f>
        <v xml:space="preserve"> </v>
      </c>
      <c r="AF10" s="54" t="str">
        <f ca="1">IFERROR(IF(ISNUMBER(T10),IF(S11 = S5, 0, IF(S11 = "", 0, AF11 + AD11))," ")," ")</f>
        <v xml:space="preserve"> </v>
      </c>
      <c r="AG10" s="46" t="str">
        <f ca="1">IFERROR(IF(ISNUMBER(T10),AE10 + AF10," ")," ")</f>
        <v xml:space="preserve"> </v>
      </c>
      <c r="AI10" s="15">
        <v>5</v>
      </c>
      <c r="AJ10" s="53"/>
      <c r="AK10" s="46" t="str">
        <f ca="1">IFERROR(MATCH(INDIRECT("AJ10"),'1.Locations'!B2:B11, 0) - 1," ")</f>
        <v xml:space="preserve"> </v>
      </c>
      <c r="AL10" s="46" t="e">
        <f ca="1">IFERROR(IF(ISNUMBER(AK10),INDEX('1.Locations'!D2:D11,AK10 + 1),NA()),NA())</f>
        <v>#N/A</v>
      </c>
      <c r="AM10" s="46" t="e">
        <f ca="1">IFERROR(IF(ISNUMBER(AK10),INDEX('1.Locations'!E2:E11,AK10 + 1),NA()),NA())</f>
        <v>#N/A</v>
      </c>
      <c r="AN10" s="54" t="str">
        <f ca="1">IFERROR(IF(ISNUMBER(AK10),INDEX('2.Distances'!C2:C101,AK9*10+AK10+ 1) +AN9," ")," ")</f>
        <v xml:space="preserve"> </v>
      </c>
      <c r="AO10" s="55" t="str">
        <f ca="1">IFERROR(IF(ISNUMBER(AK10),'3.Vehicles'!F2 * INDEX('2.Distances'!D2:D101,AK9*10+AK10 + 1) +AO9," ")," ")</f>
        <v xml:space="preserve"> </v>
      </c>
      <c r="AP10" s="56" t="str">
        <f ca="1">IFERROR(IF(ISNUMBER(AK10),'3.Vehicles'!F2 * INDEX('2.Distances'!D2:D101,AK9*10+AK10 + 1) +AQ9," ")," ")</f>
        <v xml:space="preserve"> </v>
      </c>
      <c r="AQ10" s="56" t="str">
        <f ca="1">IFERROR(IF(AND(AK5&lt;&gt;AK10,ISNUMBER(AP10)),INDEX('1.Locations'!I2:I11,AK10 + 1) + MAX(AP10,INDEX('1.Locations'!F2:F11,AK10 + 1))," ")," ")</f>
        <v xml:space="preserve"> </v>
      </c>
      <c r="AR10" s="55" t="str">
        <f ca="1">IFERROR(IF(AND(AJ10 = AJ5, AJ11 = ""), AP10 - AQ5, AQ10 - AQ5)," ")</f>
        <v xml:space="preserve"> </v>
      </c>
      <c r="AS10" s="46" t="str">
        <f ca="1">IFERROR(IF(ISNUMBER(AK10),INDEX('1.Locations'!L2:L11,AK10 + 1) + AS9," ")," ")</f>
        <v xml:space="preserve"> </v>
      </c>
      <c r="AT10" s="54" t="str">
        <f ca="1">IFERROR(IF(ISNUMBER(AK10),INDEX('1.Locations'!J2:J11,AK10 + 1)," ")," ")</f>
        <v xml:space="preserve"> </v>
      </c>
      <c r="AU10" s="54" t="str">
        <f ca="1">IFERROR(IF(ISNUMBER(AK10),INDEX('1.Locations'!K2:K11,AK10 + 1)," ")," ")</f>
        <v xml:space="preserve"> </v>
      </c>
      <c r="AV10" s="54" t="str">
        <f ca="1">IFERROR(IF(ISNUMBER(AK10),IF(AJ10 = AJ5, 0, AT10 + AV9)," ")," ")</f>
        <v xml:space="preserve"> </v>
      </c>
      <c r="AW10" s="54" t="str">
        <f ca="1">IFERROR(IF(ISNUMBER(AK10),IF(AJ11 = AJ5, 0, IF(AJ11 = "", 0, AW11 + AU11))," ")," ")</f>
        <v xml:space="preserve"> </v>
      </c>
      <c r="AX10" s="46" t="str">
        <f ca="1">IFERROR(IF(ISNUMBER(AK10),AV10 + AW10," ")," ")</f>
        <v xml:space="preserve"> </v>
      </c>
      <c r="AZ10" s="15">
        <v>5</v>
      </c>
      <c r="BA10" s="53"/>
      <c r="BB10" s="46" t="str">
        <f ca="1">IFERROR(MATCH(INDIRECT("BA10"),'1.Locations'!B2:B11, 0) - 1," ")</f>
        <v xml:space="preserve"> </v>
      </c>
      <c r="BC10" s="46" t="e">
        <f ca="1">IFERROR(IF(ISNUMBER(BB10),INDEX('1.Locations'!D2:D11,BB10 + 1),NA()),NA())</f>
        <v>#N/A</v>
      </c>
      <c r="BD10" s="46" t="e">
        <f ca="1">IFERROR(IF(ISNUMBER(BB10),INDEX('1.Locations'!E2:E11,BB10 + 1),NA()),NA())</f>
        <v>#N/A</v>
      </c>
      <c r="BE10" s="54" t="str">
        <f ca="1">IFERROR(IF(ISNUMBER(BB10),INDEX('2.Distances'!C2:C101,BB9*10+BB10+ 1) +BE9," ")," ")</f>
        <v xml:space="preserve"> </v>
      </c>
      <c r="BF10" s="55" t="str">
        <f ca="1">IFERROR(IF(ISNUMBER(BB10),'3.Vehicles'!F2 * INDEX('2.Distances'!D2:D101,BB9*10+BB10 + 1) +BF9," ")," ")</f>
        <v xml:space="preserve"> </v>
      </c>
      <c r="BG10" s="56" t="str">
        <f ca="1">IFERROR(IF(ISNUMBER(BB10),'3.Vehicles'!F2 * INDEX('2.Distances'!D2:D101,BB9*10+BB10 + 1) +BH9," ")," ")</f>
        <v xml:space="preserve"> </v>
      </c>
      <c r="BH10" s="56" t="str">
        <f ca="1">IFERROR(IF(AND(BB5&lt;&gt;BB10,ISNUMBER(BG10)),INDEX('1.Locations'!I2:I11,BB10 + 1) + MAX(BG10,INDEX('1.Locations'!F2:F11,BB10 + 1))," ")," ")</f>
        <v xml:space="preserve"> </v>
      </c>
      <c r="BI10" s="55" t="str">
        <f ca="1">IFERROR(IF(AND(BA10 = BA5, BA11 = ""), BG10 - BH5, BH10 - BH5)," ")</f>
        <v xml:space="preserve"> </v>
      </c>
      <c r="BJ10" s="46" t="str">
        <f ca="1">IFERROR(IF(ISNUMBER(BB10),INDEX('1.Locations'!L2:L11,BB10 + 1) + BJ9," ")," ")</f>
        <v xml:space="preserve"> </v>
      </c>
      <c r="BK10" s="54" t="str">
        <f ca="1">IFERROR(IF(ISNUMBER(BB10),INDEX('1.Locations'!J2:J11,BB10 + 1)," ")," ")</f>
        <v xml:space="preserve"> </v>
      </c>
      <c r="BL10" s="54" t="str">
        <f ca="1">IFERROR(IF(ISNUMBER(BB10),INDEX('1.Locations'!K2:K11,BB10 + 1)," ")," ")</f>
        <v xml:space="preserve"> </v>
      </c>
      <c r="BM10" s="54" t="str">
        <f ca="1">IFERROR(IF(ISNUMBER(BB10),IF(BA10 = BA5, 0, BK10 + BM9)," ")," ")</f>
        <v xml:space="preserve"> </v>
      </c>
      <c r="BN10" s="54" t="str">
        <f ca="1">IFERROR(IF(ISNUMBER(BB10),IF(BA11 = BA5, 0, IF(BA11 = "", 0, BN11 + BL11))," ")," ")</f>
        <v xml:space="preserve"> </v>
      </c>
      <c r="BO10" s="46" t="str">
        <f ca="1">IFERROR(IF(ISNUMBER(BB10),BM10 + BN10," ")," ")</f>
        <v xml:space="preserve"> </v>
      </c>
      <c r="BQ10" s="15">
        <v>5</v>
      </c>
      <c r="BR10" s="53"/>
      <c r="BS10" s="46" t="str">
        <f ca="1">IFERROR(MATCH(INDIRECT("BR10"),'1.Locations'!B2:B11, 0) - 1," ")</f>
        <v xml:space="preserve"> </v>
      </c>
      <c r="BT10" s="46" t="e">
        <f ca="1">IFERROR(IF(ISNUMBER(BS10),INDEX('1.Locations'!D2:D11,BS10 + 1),NA()),NA())</f>
        <v>#N/A</v>
      </c>
      <c r="BU10" s="46" t="e">
        <f ca="1">IFERROR(IF(ISNUMBER(BS10),INDEX('1.Locations'!E2:E11,BS10 + 1),NA()),NA())</f>
        <v>#N/A</v>
      </c>
      <c r="BV10" s="54" t="str">
        <f ca="1">IFERROR(IF(ISNUMBER(BS10),INDEX('2.Distances'!C2:C101,BS9*10+BS10+ 1) +BV9," ")," ")</f>
        <v xml:space="preserve"> </v>
      </c>
      <c r="BW10" s="55" t="str">
        <f ca="1">IFERROR(IF(ISNUMBER(BS10),'3.Vehicles'!F2 * INDEX('2.Distances'!D2:D101,BS9*10+BS10 + 1) +BW9," ")," ")</f>
        <v xml:space="preserve"> </v>
      </c>
      <c r="BX10" s="56" t="str">
        <f ca="1">IFERROR(IF(ISNUMBER(BS10),'3.Vehicles'!F2 * INDEX('2.Distances'!D2:D101,BS9*10+BS10 + 1) +BY9," ")," ")</f>
        <v xml:space="preserve"> </v>
      </c>
      <c r="BY10" s="56" t="str">
        <f ca="1">IFERROR(IF(AND(BS5&lt;&gt;BS10,ISNUMBER(BX10)),INDEX('1.Locations'!I2:I11,BS10 + 1) + MAX(BX10,INDEX('1.Locations'!F2:F11,BS10 + 1))," ")," ")</f>
        <v xml:space="preserve"> </v>
      </c>
      <c r="BZ10" s="55" t="str">
        <f ca="1">IFERROR(IF(AND(BR10 = BR5, BR11 = ""), BX10 - BY5, BY10 - BY5)," ")</f>
        <v xml:space="preserve"> </v>
      </c>
      <c r="CA10" s="46" t="str">
        <f ca="1">IFERROR(IF(ISNUMBER(BS10),INDEX('1.Locations'!L2:L11,BS10 + 1) + CA9," ")," ")</f>
        <v xml:space="preserve"> </v>
      </c>
      <c r="CB10" s="54" t="str">
        <f ca="1">IFERROR(IF(ISNUMBER(BS10),INDEX('1.Locations'!J2:J11,BS10 + 1)," ")," ")</f>
        <v xml:space="preserve"> </v>
      </c>
      <c r="CC10" s="54" t="str">
        <f ca="1">IFERROR(IF(ISNUMBER(BS10),INDEX('1.Locations'!K2:K11,BS10 + 1)," ")," ")</f>
        <v xml:space="preserve"> </v>
      </c>
      <c r="CD10" s="54" t="str">
        <f ca="1">IFERROR(IF(ISNUMBER(BS10),IF(BR10 = BR5, 0, CB10 + CD9)," ")," ")</f>
        <v xml:space="preserve"> </v>
      </c>
      <c r="CE10" s="54" t="str">
        <f ca="1">IFERROR(IF(ISNUMBER(BS10),IF(BR11 = BR5, 0, IF(BR11 = "", 0, CE11 + CC11))," ")," ")</f>
        <v xml:space="preserve"> </v>
      </c>
      <c r="CF10" s="46" t="str">
        <f ca="1">IFERROR(IF(ISNUMBER(BS10),CD10 + CE10," ")," ")</f>
        <v xml:space="preserve"> </v>
      </c>
    </row>
    <row r="11" spans="1:84" x14ac:dyDescent="0.35">
      <c r="A11" s="15">
        <v>6</v>
      </c>
      <c r="B11" s="58"/>
      <c r="C11" s="46" t="str">
        <f ca="1">IFERROR(MATCH(INDIRECT("B11"),'1.Locations'!B2:B11, 0) - 1," ")</f>
        <v xml:space="preserve"> </v>
      </c>
      <c r="D11" s="46" t="e">
        <f ca="1">IFERROR(IF(ISNUMBER(C11),INDEX('1.Locations'!D2:D11,C11 + 1),NA()),NA())</f>
        <v>#N/A</v>
      </c>
      <c r="E11" s="46" t="e">
        <f ca="1">IFERROR(IF(ISNUMBER(C11),INDEX('1.Locations'!E2:E11,C11 + 1),NA()),NA())</f>
        <v>#N/A</v>
      </c>
      <c r="F11" s="54" t="str">
        <f ca="1">IFERROR(IF(ISNUMBER(C11),INDEX('2.Distances'!C2:C101,C10*10+C11+ 1) +F10," ")," ")</f>
        <v xml:space="preserve"> </v>
      </c>
      <c r="G11" s="55" t="str">
        <f ca="1">IFERROR(IF(ISNUMBER(C11),'3.Vehicles'!F2 * INDEX('2.Distances'!D2:D101,C10*10+C11 + 1) +G10," ")," ")</f>
        <v xml:space="preserve"> </v>
      </c>
      <c r="H11" s="56" t="str">
        <f ca="1">IFERROR(IF(ISNUMBER(C11),'3.Vehicles'!F2 * INDEX('2.Distances'!D2:D101,C10*10+C11 + 1) +I10," ")," ")</f>
        <v xml:space="preserve"> </v>
      </c>
      <c r="I11" s="56" t="str">
        <f ca="1">IFERROR(IF(AND(C5&lt;&gt;C11,ISNUMBER(H11)),INDEX('1.Locations'!I2:I11,C11 + 1) + MAX(H11,INDEX('1.Locations'!F2:F11,C11 + 1))," ")," ")</f>
        <v xml:space="preserve"> </v>
      </c>
      <c r="J11" s="55" t="str">
        <f ca="1">IFERROR(IF(AND(B11 = B5, B12 = ""), H11 - I5, I11 - I5)," ")</f>
        <v xml:space="preserve"> </v>
      </c>
      <c r="K11" s="46" t="str">
        <f ca="1">IFERROR(IF(ISNUMBER(C11),INDEX('1.Locations'!L2:L11,C11 + 1) + K10," ")," ")</f>
        <v xml:space="preserve"> </v>
      </c>
      <c r="L11" s="54" t="str">
        <f ca="1">IFERROR(IF(ISNUMBER(C11),INDEX('1.Locations'!J2:J11,C11 + 1)," ")," ")</f>
        <v xml:space="preserve"> </v>
      </c>
      <c r="M11" s="54" t="str">
        <f ca="1">IFERROR(IF(ISNUMBER(C11),INDEX('1.Locations'!K2:K11,C11 + 1)," ")," ")</f>
        <v xml:space="preserve"> </v>
      </c>
      <c r="N11" s="54" t="str">
        <f ca="1">IFERROR(IF(ISNUMBER(C11),IF(B11 = B5, 0, L11 + N10)," ")," ")</f>
        <v xml:space="preserve"> </v>
      </c>
      <c r="O11" s="54" t="str">
        <f ca="1">IFERROR(IF(ISNUMBER(C11),IF(B12 = B5, 0, IF(B12 = "", 0, O12 + M12))," ")," ")</f>
        <v xml:space="preserve"> </v>
      </c>
      <c r="P11" s="46" t="str">
        <f ca="1">IFERROR(IF(ISNUMBER(C11),N11 + O11," ")," ")</f>
        <v xml:space="preserve"> </v>
      </c>
      <c r="R11" s="15">
        <v>6</v>
      </c>
      <c r="S11" s="58"/>
      <c r="T11" s="46" t="str">
        <f ca="1">IFERROR(MATCH(INDIRECT("S11"),'1.Locations'!B2:B11, 0) - 1," ")</f>
        <v xml:space="preserve"> </v>
      </c>
      <c r="U11" s="46" t="e">
        <f ca="1">IFERROR(IF(ISNUMBER(T11),INDEX('1.Locations'!D2:D11,T11 + 1),NA()),NA())</f>
        <v>#N/A</v>
      </c>
      <c r="V11" s="46" t="e">
        <f ca="1">IFERROR(IF(ISNUMBER(T11),INDEX('1.Locations'!E2:E11,T11 + 1),NA()),NA())</f>
        <v>#N/A</v>
      </c>
      <c r="W11" s="54" t="str">
        <f ca="1">IFERROR(IF(ISNUMBER(T11),INDEX('2.Distances'!C2:C101,T10*10+T11+ 1) +W10," ")," ")</f>
        <v xml:space="preserve"> </v>
      </c>
      <c r="X11" s="55" t="str">
        <f ca="1">IFERROR(IF(ISNUMBER(T11),'3.Vehicles'!F2 * INDEX('2.Distances'!D2:D101,T10*10+T11 + 1) +X10," ")," ")</f>
        <v xml:space="preserve"> </v>
      </c>
      <c r="Y11" s="56" t="str">
        <f ca="1">IFERROR(IF(ISNUMBER(T11),'3.Vehicles'!F2 * INDEX('2.Distances'!D2:D101,T10*10+T11 + 1) +Z10," ")," ")</f>
        <v xml:space="preserve"> </v>
      </c>
      <c r="Z11" s="56" t="str">
        <f ca="1">IFERROR(IF(AND(T5&lt;&gt;T11,ISNUMBER(Y11)),INDEX('1.Locations'!I2:I11,T11 + 1) + MAX(Y11,INDEX('1.Locations'!F2:F11,T11 + 1))," ")," ")</f>
        <v xml:space="preserve"> </v>
      </c>
      <c r="AA11" s="55" t="str">
        <f ca="1">IFERROR(IF(AND(S11 = S5, S12 = ""), Y11 - Z5, Z11 - Z5)," ")</f>
        <v xml:space="preserve"> </v>
      </c>
      <c r="AB11" s="46" t="str">
        <f ca="1">IFERROR(IF(ISNUMBER(T11),INDEX('1.Locations'!L2:L11,T11 + 1) + AB10," ")," ")</f>
        <v xml:space="preserve"> </v>
      </c>
      <c r="AC11" s="54" t="str">
        <f ca="1">IFERROR(IF(ISNUMBER(T11),INDEX('1.Locations'!J2:J11,T11 + 1)," ")," ")</f>
        <v xml:space="preserve"> </v>
      </c>
      <c r="AD11" s="54" t="str">
        <f ca="1">IFERROR(IF(ISNUMBER(T11),INDEX('1.Locations'!K2:K11,T11 + 1)," ")," ")</f>
        <v xml:space="preserve"> </v>
      </c>
      <c r="AE11" s="54" t="str">
        <f ca="1">IFERROR(IF(ISNUMBER(T11),IF(S11 = S5, 0, AC11 + AE10)," ")," ")</f>
        <v xml:space="preserve"> </v>
      </c>
      <c r="AF11" s="54" t="str">
        <f ca="1">IFERROR(IF(ISNUMBER(T11),IF(S12 = S5, 0, IF(S12 = "", 0, AF12 + AD12))," ")," ")</f>
        <v xml:space="preserve"> </v>
      </c>
      <c r="AG11" s="46" t="str">
        <f ca="1">IFERROR(IF(ISNUMBER(T11),AE11 + AF11," ")," ")</f>
        <v xml:space="preserve"> </v>
      </c>
      <c r="AI11" s="15">
        <v>6</v>
      </c>
      <c r="AJ11" s="58"/>
      <c r="AK11" s="46" t="str">
        <f ca="1">IFERROR(MATCH(INDIRECT("AJ11"),'1.Locations'!B2:B11, 0) - 1," ")</f>
        <v xml:space="preserve"> </v>
      </c>
      <c r="AL11" s="46" t="e">
        <f ca="1">IFERROR(IF(ISNUMBER(AK11),INDEX('1.Locations'!D2:D11,AK11 + 1),NA()),NA())</f>
        <v>#N/A</v>
      </c>
      <c r="AM11" s="46" t="e">
        <f ca="1">IFERROR(IF(ISNUMBER(AK11),INDEX('1.Locations'!E2:E11,AK11 + 1),NA()),NA())</f>
        <v>#N/A</v>
      </c>
      <c r="AN11" s="54" t="str">
        <f ca="1">IFERROR(IF(ISNUMBER(AK11),INDEX('2.Distances'!C2:C101,AK10*10+AK11+ 1) +AN10," ")," ")</f>
        <v xml:space="preserve"> </v>
      </c>
      <c r="AO11" s="55" t="str">
        <f ca="1">IFERROR(IF(ISNUMBER(AK11),'3.Vehicles'!F2 * INDEX('2.Distances'!D2:D101,AK10*10+AK11 + 1) +AO10," ")," ")</f>
        <v xml:space="preserve"> </v>
      </c>
      <c r="AP11" s="56" t="str">
        <f ca="1">IFERROR(IF(ISNUMBER(AK11),'3.Vehicles'!F2 * INDEX('2.Distances'!D2:D101,AK10*10+AK11 + 1) +AQ10," ")," ")</f>
        <v xml:space="preserve"> </v>
      </c>
      <c r="AQ11" s="56" t="str">
        <f ca="1">IFERROR(IF(AND(AK5&lt;&gt;AK11,ISNUMBER(AP11)),INDEX('1.Locations'!I2:I11,AK11 + 1) + MAX(AP11,INDEX('1.Locations'!F2:F11,AK11 + 1))," ")," ")</f>
        <v xml:space="preserve"> </v>
      </c>
      <c r="AR11" s="55" t="str">
        <f ca="1">IFERROR(IF(AND(AJ11 = AJ5, AJ12 = ""), AP11 - AQ5, AQ11 - AQ5)," ")</f>
        <v xml:space="preserve"> </v>
      </c>
      <c r="AS11" s="46" t="str">
        <f ca="1">IFERROR(IF(ISNUMBER(AK11),INDEX('1.Locations'!L2:L11,AK11 + 1) + AS10," ")," ")</f>
        <v xml:space="preserve"> </v>
      </c>
      <c r="AT11" s="54" t="str">
        <f ca="1">IFERROR(IF(ISNUMBER(AK11),INDEX('1.Locations'!J2:J11,AK11 + 1)," ")," ")</f>
        <v xml:space="preserve"> </v>
      </c>
      <c r="AU11" s="54" t="str">
        <f ca="1">IFERROR(IF(ISNUMBER(AK11),INDEX('1.Locations'!K2:K11,AK11 + 1)," ")," ")</f>
        <v xml:space="preserve"> </v>
      </c>
      <c r="AV11" s="54" t="str">
        <f ca="1">IFERROR(IF(ISNUMBER(AK11),IF(AJ11 = AJ5, 0, AT11 + AV10)," ")," ")</f>
        <v xml:space="preserve"> </v>
      </c>
      <c r="AW11" s="54" t="str">
        <f ca="1">IFERROR(IF(ISNUMBER(AK11),IF(AJ12 = AJ5, 0, IF(AJ12 = "", 0, AW12 + AU12))," ")," ")</f>
        <v xml:space="preserve"> </v>
      </c>
      <c r="AX11" s="46" t="str">
        <f ca="1">IFERROR(IF(ISNUMBER(AK11),AV11 + AW11," ")," ")</f>
        <v xml:space="preserve"> </v>
      </c>
      <c r="AZ11" s="15">
        <v>6</v>
      </c>
      <c r="BA11" s="58"/>
      <c r="BB11" s="46" t="str">
        <f ca="1">IFERROR(MATCH(INDIRECT("BA11"),'1.Locations'!B2:B11, 0) - 1," ")</f>
        <v xml:space="preserve"> </v>
      </c>
      <c r="BC11" s="46" t="e">
        <f ca="1">IFERROR(IF(ISNUMBER(BB11),INDEX('1.Locations'!D2:D11,BB11 + 1),NA()),NA())</f>
        <v>#N/A</v>
      </c>
      <c r="BD11" s="46" t="e">
        <f ca="1">IFERROR(IF(ISNUMBER(BB11),INDEX('1.Locations'!E2:E11,BB11 + 1),NA()),NA())</f>
        <v>#N/A</v>
      </c>
      <c r="BE11" s="54" t="str">
        <f ca="1">IFERROR(IF(ISNUMBER(BB11),INDEX('2.Distances'!C2:C101,BB10*10+BB11+ 1) +BE10," ")," ")</f>
        <v xml:space="preserve"> </v>
      </c>
      <c r="BF11" s="55" t="str">
        <f ca="1">IFERROR(IF(ISNUMBER(BB11),'3.Vehicles'!F2 * INDEX('2.Distances'!D2:D101,BB10*10+BB11 + 1) +BF10," ")," ")</f>
        <v xml:space="preserve"> </v>
      </c>
      <c r="BG11" s="56" t="str">
        <f ca="1">IFERROR(IF(ISNUMBER(BB11),'3.Vehicles'!F2 * INDEX('2.Distances'!D2:D101,BB10*10+BB11 + 1) +BH10," ")," ")</f>
        <v xml:space="preserve"> </v>
      </c>
      <c r="BH11" s="56" t="str">
        <f ca="1">IFERROR(IF(AND(BB5&lt;&gt;BB11,ISNUMBER(BG11)),INDEX('1.Locations'!I2:I11,BB11 + 1) + MAX(BG11,INDEX('1.Locations'!F2:F11,BB11 + 1))," ")," ")</f>
        <v xml:space="preserve"> </v>
      </c>
      <c r="BI11" s="55" t="str">
        <f ca="1">IFERROR(IF(AND(BA11 = BA5, BA12 = ""), BG11 - BH5, BH11 - BH5)," ")</f>
        <v xml:space="preserve"> </v>
      </c>
      <c r="BJ11" s="46" t="str">
        <f ca="1">IFERROR(IF(ISNUMBER(BB11),INDEX('1.Locations'!L2:L11,BB11 + 1) + BJ10," ")," ")</f>
        <v xml:space="preserve"> </v>
      </c>
      <c r="BK11" s="54" t="str">
        <f ca="1">IFERROR(IF(ISNUMBER(BB11),INDEX('1.Locations'!J2:J11,BB11 + 1)," ")," ")</f>
        <v xml:space="preserve"> </v>
      </c>
      <c r="BL11" s="54" t="str">
        <f ca="1">IFERROR(IF(ISNUMBER(BB11),INDEX('1.Locations'!K2:K11,BB11 + 1)," ")," ")</f>
        <v xml:space="preserve"> </v>
      </c>
      <c r="BM11" s="54" t="str">
        <f ca="1">IFERROR(IF(ISNUMBER(BB11),IF(BA11 = BA5, 0, BK11 + BM10)," ")," ")</f>
        <v xml:space="preserve"> </v>
      </c>
      <c r="BN11" s="54" t="str">
        <f ca="1">IFERROR(IF(ISNUMBER(BB11),IF(BA12 = BA5, 0, IF(BA12 = "", 0, BN12 + BL12))," ")," ")</f>
        <v xml:space="preserve"> </v>
      </c>
      <c r="BO11" s="46" t="str">
        <f ca="1">IFERROR(IF(ISNUMBER(BB11),BM11 + BN11," ")," ")</f>
        <v xml:space="preserve"> </v>
      </c>
      <c r="BQ11" s="15">
        <v>6</v>
      </c>
      <c r="BR11" s="58"/>
      <c r="BS11" s="46" t="str">
        <f ca="1">IFERROR(MATCH(INDIRECT("BR11"),'1.Locations'!B2:B11, 0) - 1," ")</f>
        <v xml:space="preserve"> </v>
      </c>
      <c r="BT11" s="46" t="e">
        <f ca="1">IFERROR(IF(ISNUMBER(BS11),INDEX('1.Locations'!D2:D11,BS11 + 1),NA()),NA())</f>
        <v>#N/A</v>
      </c>
      <c r="BU11" s="46" t="e">
        <f ca="1">IFERROR(IF(ISNUMBER(BS11),INDEX('1.Locations'!E2:E11,BS11 + 1),NA()),NA())</f>
        <v>#N/A</v>
      </c>
      <c r="BV11" s="54" t="str">
        <f ca="1">IFERROR(IF(ISNUMBER(BS11),INDEX('2.Distances'!C2:C101,BS10*10+BS11+ 1) +BV10," ")," ")</f>
        <v xml:space="preserve"> </v>
      </c>
      <c r="BW11" s="55" t="str">
        <f ca="1">IFERROR(IF(ISNUMBER(BS11),'3.Vehicles'!F2 * INDEX('2.Distances'!D2:D101,BS10*10+BS11 + 1) +BW10," ")," ")</f>
        <v xml:space="preserve"> </v>
      </c>
      <c r="BX11" s="56" t="str">
        <f ca="1">IFERROR(IF(ISNUMBER(BS11),'3.Vehicles'!F2 * INDEX('2.Distances'!D2:D101,BS10*10+BS11 + 1) +BY10," ")," ")</f>
        <v xml:space="preserve"> </v>
      </c>
      <c r="BY11" s="56" t="str">
        <f ca="1">IFERROR(IF(AND(BS5&lt;&gt;BS11,ISNUMBER(BX11)),INDEX('1.Locations'!I2:I11,BS11 + 1) + MAX(BX11,INDEX('1.Locations'!F2:F11,BS11 + 1))," ")," ")</f>
        <v xml:space="preserve"> </v>
      </c>
      <c r="BZ11" s="55" t="str">
        <f ca="1">IFERROR(IF(AND(BR11 = BR5, BR12 = ""), BX11 - BY5, BY11 - BY5)," ")</f>
        <v xml:space="preserve"> </v>
      </c>
      <c r="CA11" s="46" t="str">
        <f ca="1">IFERROR(IF(ISNUMBER(BS11),INDEX('1.Locations'!L2:L11,BS11 + 1) + CA10," ")," ")</f>
        <v xml:space="preserve"> </v>
      </c>
      <c r="CB11" s="54" t="str">
        <f ca="1">IFERROR(IF(ISNUMBER(BS11),INDEX('1.Locations'!J2:J11,BS11 + 1)," ")," ")</f>
        <v xml:space="preserve"> </v>
      </c>
      <c r="CC11" s="54" t="str">
        <f ca="1">IFERROR(IF(ISNUMBER(BS11),INDEX('1.Locations'!K2:K11,BS11 + 1)," ")," ")</f>
        <v xml:space="preserve"> </v>
      </c>
      <c r="CD11" s="54" t="str">
        <f ca="1">IFERROR(IF(ISNUMBER(BS11),IF(BR11 = BR5, 0, CB11 + CD10)," ")," ")</f>
        <v xml:space="preserve"> </v>
      </c>
      <c r="CE11" s="54" t="str">
        <f ca="1">IFERROR(IF(ISNUMBER(BS11),IF(BR12 = BR5, 0, IF(BR12 = "", 0, CE12 + CC12))," ")," ")</f>
        <v xml:space="preserve"> </v>
      </c>
      <c r="CF11" s="46" t="str">
        <f ca="1">IFERROR(IF(ISNUMBER(BS11),CD11 + CE11," ")," ")</f>
        <v xml:space="preserve"> </v>
      </c>
    </row>
    <row r="12" spans="1:84" x14ac:dyDescent="0.35">
      <c r="A12" s="15">
        <v>7</v>
      </c>
      <c r="B12" s="53"/>
      <c r="C12" s="46" t="str">
        <f ca="1">IFERROR(MATCH(INDIRECT("B12"),'1.Locations'!B2:B11, 0) - 1," ")</f>
        <v xml:space="preserve"> </v>
      </c>
      <c r="D12" s="46" t="e">
        <f ca="1">IFERROR(IF(ISNUMBER(C12),INDEX('1.Locations'!D2:D11,C12 + 1),NA()),NA())</f>
        <v>#N/A</v>
      </c>
      <c r="E12" s="46" t="e">
        <f ca="1">IFERROR(IF(ISNUMBER(C12),INDEX('1.Locations'!E2:E11,C12 + 1),NA()),NA())</f>
        <v>#N/A</v>
      </c>
      <c r="F12" s="54" t="str">
        <f ca="1">IFERROR(IF(ISNUMBER(C12),INDEX('2.Distances'!C2:C101,C11*10+C12+ 1) +F11," ")," ")</f>
        <v xml:space="preserve"> </v>
      </c>
      <c r="G12" s="55" t="str">
        <f ca="1">IFERROR(IF(ISNUMBER(C12),'3.Vehicles'!F2 * INDEX('2.Distances'!D2:D101,C11*10+C12 + 1) +G11," ")," ")</f>
        <v xml:space="preserve"> </v>
      </c>
      <c r="H12" s="56" t="str">
        <f ca="1">IFERROR(IF(ISNUMBER(C12),'3.Vehicles'!F2 * INDEX('2.Distances'!D2:D101,C11*10+C12 + 1) +I11," ")," ")</f>
        <v xml:space="preserve"> </v>
      </c>
      <c r="I12" s="56" t="str">
        <f ca="1">IFERROR(IF(AND(C5&lt;&gt;C12,ISNUMBER(H12)),INDEX('1.Locations'!I2:I11,C12 + 1) + MAX(H12,INDEX('1.Locations'!F2:F11,C12 + 1))," ")," ")</f>
        <v xml:space="preserve"> </v>
      </c>
      <c r="J12" s="55" t="str">
        <f ca="1">IFERROR(IF(AND(B12 = B5, B13 = ""), H12 - I5, I12 - I5)," ")</f>
        <v xml:space="preserve"> </v>
      </c>
      <c r="K12" s="46" t="str">
        <f ca="1">IFERROR(IF(ISNUMBER(C12),INDEX('1.Locations'!L2:L11,C12 + 1) + K11," ")," ")</f>
        <v xml:space="preserve"> </v>
      </c>
      <c r="L12" s="54" t="str">
        <f ca="1">IFERROR(IF(ISNUMBER(C12),INDEX('1.Locations'!J2:J11,C12 + 1)," ")," ")</f>
        <v xml:space="preserve"> </v>
      </c>
      <c r="M12" s="54" t="str">
        <f ca="1">IFERROR(IF(ISNUMBER(C12),INDEX('1.Locations'!K2:K11,C12 + 1)," ")," ")</f>
        <v xml:space="preserve"> </v>
      </c>
      <c r="N12" s="54" t="str">
        <f ca="1">IFERROR(IF(ISNUMBER(C12),IF(B12 = B5, 0, L12 + N11)," ")," ")</f>
        <v xml:space="preserve"> </v>
      </c>
      <c r="O12" s="54" t="str">
        <f ca="1">IFERROR(IF(ISNUMBER(C12),IF(B13 = B5, 0, IF(B13 = "", 0, O13 + M13))," ")," ")</f>
        <v xml:space="preserve"> </v>
      </c>
      <c r="P12" s="46" t="str">
        <f ca="1">IFERROR(IF(ISNUMBER(C12),N12 + O12," ")," ")</f>
        <v xml:space="preserve"> </v>
      </c>
      <c r="R12" s="15">
        <v>7</v>
      </c>
      <c r="S12" s="53"/>
      <c r="T12" s="46" t="str">
        <f ca="1">IFERROR(MATCH(INDIRECT("S12"),'1.Locations'!B2:B11, 0) - 1," ")</f>
        <v xml:space="preserve"> </v>
      </c>
      <c r="U12" s="46" t="e">
        <f ca="1">IFERROR(IF(ISNUMBER(T12),INDEX('1.Locations'!D2:D11,T12 + 1),NA()),NA())</f>
        <v>#N/A</v>
      </c>
      <c r="V12" s="46" t="e">
        <f ca="1">IFERROR(IF(ISNUMBER(T12),INDEX('1.Locations'!E2:E11,T12 + 1),NA()),NA())</f>
        <v>#N/A</v>
      </c>
      <c r="W12" s="54" t="str">
        <f ca="1">IFERROR(IF(ISNUMBER(T12),INDEX('2.Distances'!C2:C101,T11*10+T12+ 1) +W11," ")," ")</f>
        <v xml:space="preserve"> </v>
      </c>
      <c r="X12" s="55" t="str">
        <f ca="1">IFERROR(IF(ISNUMBER(T12),'3.Vehicles'!F2 * INDEX('2.Distances'!D2:D101,T11*10+T12 + 1) +X11," ")," ")</f>
        <v xml:space="preserve"> </v>
      </c>
      <c r="Y12" s="56" t="str">
        <f ca="1">IFERROR(IF(ISNUMBER(T12),'3.Vehicles'!F2 * INDEX('2.Distances'!D2:D101,T11*10+T12 + 1) +Z11," ")," ")</f>
        <v xml:space="preserve"> </v>
      </c>
      <c r="Z12" s="56" t="str">
        <f ca="1">IFERROR(IF(AND(T5&lt;&gt;T12,ISNUMBER(Y12)),INDEX('1.Locations'!I2:I11,T12 + 1) + MAX(Y12,INDEX('1.Locations'!F2:F11,T12 + 1))," ")," ")</f>
        <v xml:space="preserve"> </v>
      </c>
      <c r="AA12" s="55" t="str">
        <f ca="1">IFERROR(IF(AND(S12 = S5, S13 = ""), Y12 - Z5, Z12 - Z5)," ")</f>
        <v xml:space="preserve"> </v>
      </c>
      <c r="AB12" s="46" t="str">
        <f ca="1">IFERROR(IF(ISNUMBER(T12),INDEX('1.Locations'!L2:L11,T12 + 1) + AB11," ")," ")</f>
        <v xml:space="preserve"> </v>
      </c>
      <c r="AC12" s="54" t="str">
        <f ca="1">IFERROR(IF(ISNUMBER(T12),INDEX('1.Locations'!J2:J11,T12 + 1)," ")," ")</f>
        <v xml:space="preserve"> </v>
      </c>
      <c r="AD12" s="54" t="str">
        <f ca="1">IFERROR(IF(ISNUMBER(T12),INDEX('1.Locations'!K2:K11,T12 + 1)," ")," ")</f>
        <v xml:space="preserve"> </v>
      </c>
      <c r="AE12" s="54" t="str">
        <f ca="1">IFERROR(IF(ISNUMBER(T12),IF(S12 = S5, 0, AC12 + AE11)," ")," ")</f>
        <v xml:space="preserve"> </v>
      </c>
      <c r="AF12" s="54" t="str">
        <f ca="1">IFERROR(IF(ISNUMBER(T12),IF(S13 = S5, 0, IF(S13 = "", 0, AF13 + AD13))," ")," ")</f>
        <v xml:space="preserve"> </v>
      </c>
      <c r="AG12" s="46" t="str">
        <f ca="1">IFERROR(IF(ISNUMBER(T12),AE12 + AF12," ")," ")</f>
        <v xml:space="preserve"> </v>
      </c>
      <c r="AI12" s="15">
        <v>7</v>
      </c>
      <c r="AJ12" s="53"/>
      <c r="AK12" s="46" t="str">
        <f ca="1">IFERROR(MATCH(INDIRECT("AJ12"),'1.Locations'!B2:B11, 0) - 1," ")</f>
        <v xml:space="preserve"> </v>
      </c>
      <c r="AL12" s="46" t="e">
        <f ca="1">IFERROR(IF(ISNUMBER(AK12),INDEX('1.Locations'!D2:D11,AK12 + 1),NA()),NA())</f>
        <v>#N/A</v>
      </c>
      <c r="AM12" s="46" t="e">
        <f ca="1">IFERROR(IF(ISNUMBER(AK12),INDEX('1.Locations'!E2:E11,AK12 + 1),NA()),NA())</f>
        <v>#N/A</v>
      </c>
      <c r="AN12" s="54" t="str">
        <f ca="1">IFERROR(IF(ISNUMBER(AK12),INDEX('2.Distances'!C2:C101,AK11*10+AK12+ 1) +AN11," ")," ")</f>
        <v xml:space="preserve"> </v>
      </c>
      <c r="AO12" s="55" t="str">
        <f ca="1">IFERROR(IF(ISNUMBER(AK12),'3.Vehicles'!F2 * INDEX('2.Distances'!D2:D101,AK11*10+AK12 + 1) +AO11," ")," ")</f>
        <v xml:space="preserve"> </v>
      </c>
      <c r="AP12" s="56" t="str">
        <f ca="1">IFERROR(IF(ISNUMBER(AK12),'3.Vehicles'!F2 * INDEX('2.Distances'!D2:D101,AK11*10+AK12 + 1) +AQ11," ")," ")</f>
        <v xml:space="preserve"> </v>
      </c>
      <c r="AQ12" s="56" t="str">
        <f ca="1">IFERROR(IF(AND(AK5&lt;&gt;AK12,ISNUMBER(AP12)),INDEX('1.Locations'!I2:I11,AK12 + 1) + MAX(AP12,INDEX('1.Locations'!F2:F11,AK12 + 1))," ")," ")</f>
        <v xml:space="preserve"> </v>
      </c>
      <c r="AR12" s="55" t="str">
        <f ca="1">IFERROR(IF(AND(AJ12 = AJ5, AJ13 = ""), AP12 - AQ5, AQ12 - AQ5)," ")</f>
        <v xml:space="preserve"> </v>
      </c>
      <c r="AS12" s="46" t="str">
        <f ca="1">IFERROR(IF(ISNUMBER(AK12),INDEX('1.Locations'!L2:L11,AK12 + 1) + AS11," ")," ")</f>
        <v xml:space="preserve"> </v>
      </c>
      <c r="AT12" s="54" t="str">
        <f ca="1">IFERROR(IF(ISNUMBER(AK12),INDEX('1.Locations'!J2:J11,AK12 + 1)," ")," ")</f>
        <v xml:space="preserve"> </v>
      </c>
      <c r="AU12" s="54" t="str">
        <f ca="1">IFERROR(IF(ISNUMBER(AK12),INDEX('1.Locations'!K2:K11,AK12 + 1)," ")," ")</f>
        <v xml:space="preserve"> </v>
      </c>
      <c r="AV12" s="54" t="str">
        <f ca="1">IFERROR(IF(ISNUMBER(AK12),IF(AJ12 = AJ5, 0, AT12 + AV11)," ")," ")</f>
        <v xml:space="preserve"> </v>
      </c>
      <c r="AW12" s="54" t="str">
        <f ca="1">IFERROR(IF(ISNUMBER(AK12),IF(AJ13 = AJ5, 0, IF(AJ13 = "", 0, AW13 + AU13))," ")," ")</f>
        <v xml:space="preserve"> </v>
      </c>
      <c r="AX12" s="46" t="str">
        <f ca="1">IFERROR(IF(ISNUMBER(AK12),AV12 + AW12," ")," ")</f>
        <v xml:space="preserve"> </v>
      </c>
      <c r="AZ12" s="15">
        <v>7</v>
      </c>
      <c r="BA12" s="53"/>
      <c r="BB12" s="46" t="str">
        <f ca="1">IFERROR(MATCH(INDIRECT("BA12"),'1.Locations'!B2:B11, 0) - 1," ")</f>
        <v xml:space="preserve"> </v>
      </c>
      <c r="BC12" s="46" t="e">
        <f ca="1">IFERROR(IF(ISNUMBER(BB12),INDEX('1.Locations'!D2:D11,BB12 + 1),NA()),NA())</f>
        <v>#N/A</v>
      </c>
      <c r="BD12" s="46" t="e">
        <f ca="1">IFERROR(IF(ISNUMBER(BB12),INDEX('1.Locations'!E2:E11,BB12 + 1),NA()),NA())</f>
        <v>#N/A</v>
      </c>
      <c r="BE12" s="54" t="str">
        <f ca="1">IFERROR(IF(ISNUMBER(BB12),INDEX('2.Distances'!C2:C101,BB11*10+BB12+ 1) +BE11," ")," ")</f>
        <v xml:space="preserve"> </v>
      </c>
      <c r="BF12" s="55" t="str">
        <f ca="1">IFERROR(IF(ISNUMBER(BB12),'3.Vehicles'!F2 * INDEX('2.Distances'!D2:D101,BB11*10+BB12 + 1) +BF11," ")," ")</f>
        <v xml:space="preserve"> </v>
      </c>
      <c r="BG12" s="56" t="str">
        <f ca="1">IFERROR(IF(ISNUMBER(BB12),'3.Vehicles'!F2 * INDEX('2.Distances'!D2:D101,BB11*10+BB12 + 1) +BH11," ")," ")</f>
        <v xml:space="preserve"> </v>
      </c>
      <c r="BH12" s="56" t="str">
        <f ca="1">IFERROR(IF(AND(BB5&lt;&gt;BB12,ISNUMBER(BG12)),INDEX('1.Locations'!I2:I11,BB12 + 1) + MAX(BG12,INDEX('1.Locations'!F2:F11,BB12 + 1))," ")," ")</f>
        <v xml:space="preserve"> </v>
      </c>
      <c r="BI12" s="55" t="str">
        <f ca="1">IFERROR(IF(AND(BA12 = BA5, BA13 = ""), BG12 - BH5, BH12 - BH5)," ")</f>
        <v xml:space="preserve"> </v>
      </c>
      <c r="BJ12" s="46" t="str">
        <f ca="1">IFERROR(IF(ISNUMBER(BB12),INDEX('1.Locations'!L2:L11,BB12 + 1) + BJ11," ")," ")</f>
        <v xml:space="preserve"> </v>
      </c>
      <c r="BK12" s="54" t="str">
        <f ca="1">IFERROR(IF(ISNUMBER(BB12),INDEX('1.Locations'!J2:J11,BB12 + 1)," ")," ")</f>
        <v xml:space="preserve"> </v>
      </c>
      <c r="BL12" s="54" t="str">
        <f ca="1">IFERROR(IF(ISNUMBER(BB12),INDEX('1.Locations'!K2:K11,BB12 + 1)," ")," ")</f>
        <v xml:space="preserve"> </v>
      </c>
      <c r="BM12" s="54" t="str">
        <f ca="1">IFERROR(IF(ISNUMBER(BB12),IF(BA12 = BA5, 0, BK12 + BM11)," ")," ")</f>
        <v xml:space="preserve"> </v>
      </c>
      <c r="BN12" s="54" t="str">
        <f ca="1">IFERROR(IF(ISNUMBER(BB12),IF(BA13 = BA5, 0, IF(BA13 = "", 0, BN13 + BL13))," ")," ")</f>
        <v xml:space="preserve"> </v>
      </c>
      <c r="BO12" s="46" t="str">
        <f ca="1">IFERROR(IF(ISNUMBER(BB12),BM12 + BN12," ")," ")</f>
        <v xml:space="preserve"> </v>
      </c>
      <c r="BQ12" s="15">
        <v>7</v>
      </c>
      <c r="BR12" s="53"/>
      <c r="BS12" s="46" t="str">
        <f ca="1">IFERROR(MATCH(INDIRECT("BR12"),'1.Locations'!B2:B11, 0) - 1," ")</f>
        <v xml:space="preserve"> </v>
      </c>
      <c r="BT12" s="46" t="e">
        <f ca="1">IFERROR(IF(ISNUMBER(BS12),INDEX('1.Locations'!D2:D11,BS12 + 1),NA()),NA())</f>
        <v>#N/A</v>
      </c>
      <c r="BU12" s="46" t="e">
        <f ca="1">IFERROR(IF(ISNUMBER(BS12),INDEX('1.Locations'!E2:E11,BS12 + 1),NA()),NA())</f>
        <v>#N/A</v>
      </c>
      <c r="BV12" s="54" t="str">
        <f ca="1">IFERROR(IF(ISNUMBER(BS12),INDEX('2.Distances'!C2:C101,BS11*10+BS12+ 1) +BV11," ")," ")</f>
        <v xml:space="preserve"> </v>
      </c>
      <c r="BW12" s="55" t="str">
        <f ca="1">IFERROR(IF(ISNUMBER(BS12),'3.Vehicles'!F2 * INDEX('2.Distances'!D2:D101,BS11*10+BS12 + 1) +BW11," ")," ")</f>
        <v xml:space="preserve"> </v>
      </c>
      <c r="BX12" s="56" t="str">
        <f ca="1">IFERROR(IF(ISNUMBER(BS12),'3.Vehicles'!F2 * INDEX('2.Distances'!D2:D101,BS11*10+BS12 + 1) +BY11," ")," ")</f>
        <v xml:space="preserve"> </v>
      </c>
      <c r="BY12" s="56" t="str">
        <f ca="1">IFERROR(IF(AND(BS5&lt;&gt;BS12,ISNUMBER(BX12)),INDEX('1.Locations'!I2:I11,BS12 + 1) + MAX(BX12,INDEX('1.Locations'!F2:F11,BS12 + 1))," ")," ")</f>
        <v xml:space="preserve"> </v>
      </c>
      <c r="BZ12" s="55" t="str">
        <f ca="1">IFERROR(IF(AND(BR12 = BR5, BR13 = ""), BX12 - BY5, BY12 - BY5)," ")</f>
        <v xml:space="preserve"> </v>
      </c>
      <c r="CA12" s="46" t="str">
        <f ca="1">IFERROR(IF(ISNUMBER(BS12),INDEX('1.Locations'!L2:L11,BS12 + 1) + CA11," ")," ")</f>
        <v xml:space="preserve"> </v>
      </c>
      <c r="CB12" s="54" t="str">
        <f ca="1">IFERROR(IF(ISNUMBER(BS12),INDEX('1.Locations'!J2:J11,BS12 + 1)," ")," ")</f>
        <v xml:space="preserve"> </v>
      </c>
      <c r="CC12" s="54" t="str">
        <f ca="1">IFERROR(IF(ISNUMBER(BS12),INDEX('1.Locations'!K2:K11,BS12 + 1)," ")," ")</f>
        <v xml:space="preserve"> </v>
      </c>
      <c r="CD12" s="54" t="str">
        <f ca="1">IFERROR(IF(ISNUMBER(BS12),IF(BR12 = BR5, 0, CB12 + CD11)," ")," ")</f>
        <v xml:space="preserve"> </v>
      </c>
      <c r="CE12" s="54" t="str">
        <f ca="1">IFERROR(IF(ISNUMBER(BS12),IF(BR13 = BR5, 0, IF(BR13 = "", 0, CE13 + CC13))," ")," ")</f>
        <v xml:space="preserve"> </v>
      </c>
      <c r="CF12" s="46" t="str">
        <f ca="1">IFERROR(IF(ISNUMBER(BS12),CD12 + CE12," ")," ")</f>
        <v xml:space="preserve"> </v>
      </c>
    </row>
    <row r="13" spans="1:84" x14ac:dyDescent="0.35">
      <c r="A13" s="15">
        <v>8</v>
      </c>
      <c r="B13" s="58"/>
      <c r="C13" s="46" t="str">
        <f ca="1">IFERROR(MATCH(INDIRECT("B13"),'1.Locations'!B2:B11, 0) - 1," ")</f>
        <v xml:space="preserve"> </v>
      </c>
      <c r="D13" s="46" t="e">
        <f ca="1">IFERROR(IF(ISNUMBER(C13),INDEX('1.Locations'!D2:D11,C13 + 1),NA()),NA())</f>
        <v>#N/A</v>
      </c>
      <c r="E13" s="46" t="e">
        <f ca="1">IFERROR(IF(ISNUMBER(C13),INDEX('1.Locations'!E2:E11,C13 + 1),NA()),NA())</f>
        <v>#N/A</v>
      </c>
      <c r="F13" s="54" t="str">
        <f ca="1">IFERROR(IF(ISNUMBER(C13),INDEX('2.Distances'!C2:C101,C12*10+C13+ 1) +F12," ")," ")</f>
        <v xml:space="preserve"> </v>
      </c>
      <c r="G13" s="55" t="str">
        <f ca="1">IFERROR(IF(ISNUMBER(C13),'3.Vehicles'!F2 * INDEX('2.Distances'!D2:D101,C12*10+C13 + 1) +G12," ")," ")</f>
        <v xml:space="preserve"> </v>
      </c>
      <c r="H13" s="56" t="str">
        <f ca="1">IFERROR(IF(ISNUMBER(C13),'3.Vehicles'!F2 * INDEX('2.Distances'!D2:D101,C12*10+C13 + 1) +I12," ")," ")</f>
        <v xml:space="preserve"> </v>
      </c>
      <c r="I13" s="56" t="str">
        <f ca="1">IFERROR(IF(AND(C5&lt;&gt;C13,ISNUMBER(H13)),INDEX('1.Locations'!I2:I11,C13 + 1) + MAX(H13,INDEX('1.Locations'!F2:F11,C13 + 1))," ")," ")</f>
        <v xml:space="preserve"> </v>
      </c>
      <c r="J13" s="55" t="str">
        <f ca="1">IFERROR(IF(AND(B13 = B5, B14 = ""), H13 - I5, I13 - I5)," ")</f>
        <v xml:space="preserve"> </v>
      </c>
      <c r="K13" s="46" t="str">
        <f ca="1">IFERROR(IF(ISNUMBER(C13),INDEX('1.Locations'!L2:L11,C13 + 1) + K12," ")," ")</f>
        <v xml:space="preserve"> </v>
      </c>
      <c r="L13" s="54" t="str">
        <f ca="1">IFERROR(IF(ISNUMBER(C13),INDEX('1.Locations'!J2:J11,C13 + 1)," ")," ")</f>
        <v xml:space="preserve"> </v>
      </c>
      <c r="M13" s="54" t="str">
        <f ca="1">IFERROR(IF(ISNUMBER(C13),INDEX('1.Locations'!K2:K11,C13 + 1)," ")," ")</f>
        <v xml:space="preserve"> </v>
      </c>
      <c r="N13" s="54" t="str">
        <f ca="1">IFERROR(IF(ISNUMBER(C13),IF(B13 = B5, 0, L13 + N12)," ")," ")</f>
        <v xml:space="preserve"> </v>
      </c>
      <c r="O13" s="54" t="str">
        <f ca="1">IFERROR(IF(ISNUMBER(C13),IF(B14 = B5, 0, IF(B14 = "", 0, O14 + M14))," ")," ")</f>
        <v xml:space="preserve"> </v>
      </c>
      <c r="P13" s="46" t="str">
        <f ca="1">IFERROR(IF(ISNUMBER(C13),N13 + O13," ")," ")</f>
        <v xml:space="preserve"> </v>
      </c>
      <c r="R13" s="15">
        <v>8</v>
      </c>
      <c r="S13" s="58"/>
      <c r="T13" s="46" t="str">
        <f ca="1">IFERROR(MATCH(INDIRECT("S13"),'1.Locations'!B2:B11, 0) - 1," ")</f>
        <v xml:space="preserve"> </v>
      </c>
      <c r="U13" s="46" t="e">
        <f ca="1">IFERROR(IF(ISNUMBER(T13),INDEX('1.Locations'!D2:D11,T13 + 1),NA()),NA())</f>
        <v>#N/A</v>
      </c>
      <c r="V13" s="46" t="e">
        <f ca="1">IFERROR(IF(ISNUMBER(T13),INDEX('1.Locations'!E2:E11,T13 + 1),NA()),NA())</f>
        <v>#N/A</v>
      </c>
      <c r="W13" s="54" t="str">
        <f ca="1">IFERROR(IF(ISNUMBER(T13),INDEX('2.Distances'!C2:C101,T12*10+T13+ 1) +W12," ")," ")</f>
        <v xml:space="preserve"> </v>
      </c>
      <c r="X13" s="55" t="str">
        <f ca="1">IFERROR(IF(ISNUMBER(T13),'3.Vehicles'!F2 * INDEX('2.Distances'!D2:D101,T12*10+T13 + 1) +X12," ")," ")</f>
        <v xml:space="preserve"> </v>
      </c>
      <c r="Y13" s="56" t="str">
        <f ca="1">IFERROR(IF(ISNUMBER(T13),'3.Vehicles'!F2 * INDEX('2.Distances'!D2:D101,T12*10+T13 + 1) +Z12," ")," ")</f>
        <v xml:space="preserve"> </v>
      </c>
      <c r="Z13" s="56" t="str">
        <f ca="1">IFERROR(IF(AND(T5&lt;&gt;T13,ISNUMBER(Y13)),INDEX('1.Locations'!I2:I11,T13 + 1) + MAX(Y13,INDEX('1.Locations'!F2:F11,T13 + 1))," ")," ")</f>
        <v xml:space="preserve"> </v>
      </c>
      <c r="AA13" s="55" t="str">
        <f ca="1">IFERROR(IF(AND(S13 = S5, S14 = ""), Y13 - Z5, Z13 - Z5)," ")</f>
        <v xml:space="preserve"> </v>
      </c>
      <c r="AB13" s="46" t="str">
        <f ca="1">IFERROR(IF(ISNUMBER(T13),INDEX('1.Locations'!L2:L11,T13 + 1) + AB12," ")," ")</f>
        <v xml:space="preserve"> </v>
      </c>
      <c r="AC13" s="54" t="str">
        <f ca="1">IFERROR(IF(ISNUMBER(T13),INDEX('1.Locations'!J2:J11,T13 + 1)," ")," ")</f>
        <v xml:space="preserve"> </v>
      </c>
      <c r="AD13" s="54" t="str">
        <f ca="1">IFERROR(IF(ISNUMBER(T13),INDEX('1.Locations'!K2:K11,T13 + 1)," ")," ")</f>
        <v xml:space="preserve"> </v>
      </c>
      <c r="AE13" s="54" t="str">
        <f ca="1">IFERROR(IF(ISNUMBER(T13),IF(S13 = S5, 0, AC13 + AE12)," ")," ")</f>
        <v xml:space="preserve"> </v>
      </c>
      <c r="AF13" s="54" t="str">
        <f ca="1">IFERROR(IF(ISNUMBER(T13),IF(S14 = S5, 0, IF(S14 = "", 0, AF14 + AD14))," ")," ")</f>
        <v xml:space="preserve"> </v>
      </c>
      <c r="AG13" s="46" t="str">
        <f ca="1">IFERROR(IF(ISNUMBER(T13),AE13 + AF13," ")," ")</f>
        <v xml:space="preserve"> </v>
      </c>
      <c r="AI13" s="15">
        <v>8</v>
      </c>
      <c r="AJ13" s="58"/>
      <c r="AK13" s="46" t="str">
        <f ca="1">IFERROR(MATCH(INDIRECT("AJ13"),'1.Locations'!B2:B11, 0) - 1," ")</f>
        <v xml:space="preserve"> </v>
      </c>
      <c r="AL13" s="46" t="e">
        <f ca="1">IFERROR(IF(ISNUMBER(AK13),INDEX('1.Locations'!D2:D11,AK13 + 1),NA()),NA())</f>
        <v>#N/A</v>
      </c>
      <c r="AM13" s="46" t="e">
        <f ca="1">IFERROR(IF(ISNUMBER(AK13),INDEX('1.Locations'!E2:E11,AK13 + 1),NA()),NA())</f>
        <v>#N/A</v>
      </c>
      <c r="AN13" s="54" t="str">
        <f ca="1">IFERROR(IF(ISNUMBER(AK13),INDEX('2.Distances'!C2:C101,AK12*10+AK13+ 1) +AN12," ")," ")</f>
        <v xml:space="preserve"> </v>
      </c>
      <c r="AO13" s="55" t="str">
        <f ca="1">IFERROR(IF(ISNUMBER(AK13),'3.Vehicles'!F2 * INDEX('2.Distances'!D2:D101,AK12*10+AK13 + 1) +AO12," ")," ")</f>
        <v xml:space="preserve"> </v>
      </c>
      <c r="AP13" s="56" t="str">
        <f ca="1">IFERROR(IF(ISNUMBER(AK13),'3.Vehicles'!F2 * INDEX('2.Distances'!D2:D101,AK12*10+AK13 + 1) +AQ12," ")," ")</f>
        <v xml:space="preserve"> </v>
      </c>
      <c r="AQ13" s="56" t="str">
        <f ca="1">IFERROR(IF(AND(AK5&lt;&gt;AK13,ISNUMBER(AP13)),INDEX('1.Locations'!I2:I11,AK13 + 1) + MAX(AP13,INDEX('1.Locations'!F2:F11,AK13 + 1))," ")," ")</f>
        <v xml:space="preserve"> </v>
      </c>
      <c r="AR13" s="55" t="str">
        <f ca="1">IFERROR(IF(AND(AJ13 = AJ5, AJ14 = ""), AP13 - AQ5, AQ13 - AQ5)," ")</f>
        <v xml:space="preserve"> </v>
      </c>
      <c r="AS13" s="46" t="str">
        <f ca="1">IFERROR(IF(ISNUMBER(AK13),INDEX('1.Locations'!L2:L11,AK13 + 1) + AS12," ")," ")</f>
        <v xml:space="preserve"> </v>
      </c>
      <c r="AT13" s="54" t="str">
        <f ca="1">IFERROR(IF(ISNUMBER(AK13),INDEX('1.Locations'!J2:J11,AK13 + 1)," ")," ")</f>
        <v xml:space="preserve"> </v>
      </c>
      <c r="AU13" s="54" t="str">
        <f ca="1">IFERROR(IF(ISNUMBER(AK13),INDEX('1.Locations'!K2:K11,AK13 + 1)," ")," ")</f>
        <v xml:space="preserve"> </v>
      </c>
      <c r="AV13" s="54" t="str">
        <f ca="1">IFERROR(IF(ISNUMBER(AK13),IF(AJ13 = AJ5, 0, AT13 + AV12)," ")," ")</f>
        <v xml:space="preserve"> </v>
      </c>
      <c r="AW13" s="54" t="str">
        <f ca="1">IFERROR(IF(ISNUMBER(AK13),IF(AJ14 = AJ5, 0, IF(AJ14 = "", 0, AW14 + AU14))," ")," ")</f>
        <v xml:space="preserve"> </v>
      </c>
      <c r="AX13" s="46" t="str">
        <f ca="1">IFERROR(IF(ISNUMBER(AK13),AV13 + AW13," ")," ")</f>
        <v xml:space="preserve"> </v>
      </c>
      <c r="AZ13" s="15">
        <v>8</v>
      </c>
      <c r="BA13" s="58"/>
      <c r="BB13" s="46" t="str">
        <f ca="1">IFERROR(MATCH(INDIRECT("BA13"),'1.Locations'!B2:B11, 0) - 1," ")</f>
        <v xml:space="preserve"> </v>
      </c>
      <c r="BC13" s="46" t="e">
        <f ca="1">IFERROR(IF(ISNUMBER(BB13),INDEX('1.Locations'!D2:D11,BB13 + 1),NA()),NA())</f>
        <v>#N/A</v>
      </c>
      <c r="BD13" s="46" t="e">
        <f ca="1">IFERROR(IF(ISNUMBER(BB13),INDEX('1.Locations'!E2:E11,BB13 + 1),NA()),NA())</f>
        <v>#N/A</v>
      </c>
      <c r="BE13" s="54" t="str">
        <f ca="1">IFERROR(IF(ISNUMBER(BB13),INDEX('2.Distances'!C2:C101,BB12*10+BB13+ 1) +BE12," ")," ")</f>
        <v xml:space="preserve"> </v>
      </c>
      <c r="BF13" s="55" t="str">
        <f ca="1">IFERROR(IF(ISNUMBER(BB13),'3.Vehicles'!F2 * INDEX('2.Distances'!D2:D101,BB12*10+BB13 + 1) +BF12," ")," ")</f>
        <v xml:space="preserve"> </v>
      </c>
      <c r="BG13" s="56" t="str">
        <f ca="1">IFERROR(IF(ISNUMBER(BB13),'3.Vehicles'!F2 * INDEX('2.Distances'!D2:D101,BB12*10+BB13 + 1) +BH12," ")," ")</f>
        <v xml:space="preserve"> </v>
      </c>
      <c r="BH13" s="56" t="str">
        <f ca="1">IFERROR(IF(AND(BB5&lt;&gt;BB13,ISNUMBER(BG13)),INDEX('1.Locations'!I2:I11,BB13 + 1) + MAX(BG13,INDEX('1.Locations'!F2:F11,BB13 + 1))," ")," ")</f>
        <v xml:space="preserve"> </v>
      </c>
      <c r="BI13" s="55" t="str">
        <f ca="1">IFERROR(IF(AND(BA13 = BA5, BA14 = ""), BG13 - BH5, BH13 - BH5)," ")</f>
        <v xml:space="preserve"> </v>
      </c>
      <c r="BJ13" s="46" t="str">
        <f ca="1">IFERROR(IF(ISNUMBER(BB13),INDEX('1.Locations'!L2:L11,BB13 + 1) + BJ12," ")," ")</f>
        <v xml:space="preserve"> </v>
      </c>
      <c r="BK13" s="54" t="str">
        <f ca="1">IFERROR(IF(ISNUMBER(BB13),INDEX('1.Locations'!J2:J11,BB13 + 1)," ")," ")</f>
        <v xml:space="preserve"> </v>
      </c>
      <c r="BL13" s="54" t="str">
        <f ca="1">IFERROR(IF(ISNUMBER(BB13),INDEX('1.Locations'!K2:K11,BB13 + 1)," ")," ")</f>
        <v xml:space="preserve"> </v>
      </c>
      <c r="BM13" s="54" t="str">
        <f ca="1">IFERROR(IF(ISNUMBER(BB13),IF(BA13 = BA5, 0, BK13 + BM12)," ")," ")</f>
        <v xml:space="preserve"> </v>
      </c>
      <c r="BN13" s="54" t="str">
        <f ca="1">IFERROR(IF(ISNUMBER(BB13),IF(BA14 = BA5, 0, IF(BA14 = "", 0, BN14 + BL14))," ")," ")</f>
        <v xml:space="preserve"> </v>
      </c>
      <c r="BO13" s="46" t="str">
        <f ca="1">IFERROR(IF(ISNUMBER(BB13),BM13 + BN13," ")," ")</f>
        <v xml:space="preserve"> </v>
      </c>
      <c r="BQ13" s="15">
        <v>8</v>
      </c>
      <c r="BR13" s="58"/>
      <c r="BS13" s="46" t="str">
        <f ca="1">IFERROR(MATCH(INDIRECT("BR13"),'1.Locations'!B2:B11, 0) - 1," ")</f>
        <v xml:space="preserve"> </v>
      </c>
      <c r="BT13" s="46" t="e">
        <f ca="1">IFERROR(IF(ISNUMBER(BS13),INDEX('1.Locations'!D2:D11,BS13 + 1),NA()),NA())</f>
        <v>#N/A</v>
      </c>
      <c r="BU13" s="46" t="e">
        <f ca="1">IFERROR(IF(ISNUMBER(BS13),INDEX('1.Locations'!E2:E11,BS13 + 1),NA()),NA())</f>
        <v>#N/A</v>
      </c>
      <c r="BV13" s="54" t="str">
        <f ca="1">IFERROR(IF(ISNUMBER(BS13),INDEX('2.Distances'!C2:C101,BS12*10+BS13+ 1) +BV12," ")," ")</f>
        <v xml:space="preserve"> </v>
      </c>
      <c r="BW13" s="55" t="str">
        <f ca="1">IFERROR(IF(ISNUMBER(BS13),'3.Vehicles'!F2 * INDEX('2.Distances'!D2:D101,BS12*10+BS13 + 1) +BW12," ")," ")</f>
        <v xml:space="preserve"> </v>
      </c>
      <c r="BX13" s="56" t="str">
        <f ca="1">IFERROR(IF(ISNUMBER(BS13),'3.Vehicles'!F2 * INDEX('2.Distances'!D2:D101,BS12*10+BS13 + 1) +BY12," ")," ")</f>
        <v xml:space="preserve"> </v>
      </c>
      <c r="BY13" s="56" t="str">
        <f ca="1">IFERROR(IF(AND(BS5&lt;&gt;BS13,ISNUMBER(BX13)),INDEX('1.Locations'!I2:I11,BS13 + 1) + MAX(BX13,INDEX('1.Locations'!F2:F11,BS13 + 1))," ")," ")</f>
        <v xml:space="preserve"> </v>
      </c>
      <c r="BZ13" s="55" t="str">
        <f ca="1">IFERROR(IF(AND(BR13 = BR5, BR14 = ""), BX13 - BY5, BY13 - BY5)," ")</f>
        <v xml:space="preserve"> </v>
      </c>
      <c r="CA13" s="46" t="str">
        <f ca="1">IFERROR(IF(ISNUMBER(BS13),INDEX('1.Locations'!L2:L11,BS13 + 1) + CA12," ")," ")</f>
        <v xml:space="preserve"> </v>
      </c>
      <c r="CB13" s="54" t="str">
        <f ca="1">IFERROR(IF(ISNUMBER(BS13),INDEX('1.Locations'!J2:J11,BS13 + 1)," ")," ")</f>
        <v xml:space="preserve"> </v>
      </c>
      <c r="CC13" s="54" t="str">
        <f ca="1">IFERROR(IF(ISNUMBER(BS13),INDEX('1.Locations'!K2:K11,BS13 + 1)," ")," ")</f>
        <v xml:space="preserve"> </v>
      </c>
      <c r="CD13" s="54" t="str">
        <f ca="1">IFERROR(IF(ISNUMBER(BS13),IF(BR13 = BR5, 0, CB13 + CD12)," ")," ")</f>
        <v xml:space="preserve"> </v>
      </c>
      <c r="CE13" s="54" t="str">
        <f ca="1">IFERROR(IF(ISNUMBER(BS13),IF(BR14 = BR5, 0, IF(BR14 = "", 0, CE14 + CC14))," ")," ")</f>
        <v xml:space="preserve"> </v>
      </c>
      <c r="CF13" s="46" t="str">
        <f ca="1">IFERROR(IF(ISNUMBER(BS13),CD13 + CE13," ")," ")</f>
        <v xml:space="preserve"> </v>
      </c>
    </row>
    <row r="14" spans="1:84" x14ac:dyDescent="0.35">
      <c r="A14" s="15">
        <v>9</v>
      </c>
      <c r="B14" s="53"/>
      <c r="C14" s="46" t="str">
        <f ca="1">IFERROR(MATCH(INDIRECT("B14"),'1.Locations'!B2:B11, 0) - 1," ")</f>
        <v xml:space="preserve"> </v>
      </c>
      <c r="D14" s="46" t="e">
        <f ca="1">IFERROR(IF(ISNUMBER(C14),INDEX('1.Locations'!D2:D11,C14 + 1),NA()),NA())</f>
        <v>#N/A</v>
      </c>
      <c r="E14" s="46" t="e">
        <f ca="1">IFERROR(IF(ISNUMBER(C14),INDEX('1.Locations'!E2:E11,C14 + 1),NA()),NA())</f>
        <v>#N/A</v>
      </c>
      <c r="F14" s="54" t="str">
        <f ca="1">IFERROR(IF(ISNUMBER(C14),INDEX('2.Distances'!C2:C101,C13*10+C14+ 1) +F13," ")," ")</f>
        <v xml:space="preserve"> </v>
      </c>
      <c r="G14" s="55" t="str">
        <f ca="1">IFERROR(IF(ISNUMBER(C14),'3.Vehicles'!F2 * INDEX('2.Distances'!D2:D101,C13*10+C14 + 1) +G13," ")," ")</f>
        <v xml:space="preserve"> </v>
      </c>
      <c r="H14" s="56" t="str">
        <f ca="1">IFERROR(IF(ISNUMBER(C14),'3.Vehicles'!F2 * INDEX('2.Distances'!D2:D101,C13*10+C14 + 1) +I13," ")," ")</f>
        <v xml:space="preserve"> </v>
      </c>
      <c r="I14" s="56" t="str">
        <f ca="1">IFERROR(IF(AND(C5&lt;&gt;C14,ISNUMBER(H14)),INDEX('1.Locations'!I2:I11,C14 + 1) + MAX(H14,INDEX('1.Locations'!F2:F11,C14 + 1))," ")," ")</f>
        <v xml:space="preserve"> </v>
      </c>
      <c r="J14" s="55" t="str">
        <f ca="1">IFERROR(IF(AND(B14 = B5, B15 = ""), H14 - I5, I14 - I5)," ")</f>
        <v xml:space="preserve"> </v>
      </c>
      <c r="K14" s="46" t="str">
        <f ca="1">IFERROR(IF(ISNUMBER(C14),INDEX('1.Locations'!L2:L11,C14 + 1) + K13," ")," ")</f>
        <v xml:space="preserve"> </v>
      </c>
      <c r="L14" s="54" t="str">
        <f ca="1">IFERROR(IF(ISNUMBER(C14),INDEX('1.Locations'!J2:J11,C14 + 1)," ")," ")</f>
        <v xml:space="preserve"> </v>
      </c>
      <c r="M14" s="54" t="str">
        <f ca="1">IFERROR(IF(ISNUMBER(C14),INDEX('1.Locations'!K2:K11,C14 + 1)," ")," ")</f>
        <v xml:space="preserve"> </v>
      </c>
      <c r="N14" s="54" t="str">
        <f ca="1">IFERROR(IF(ISNUMBER(C14),IF(B14 = B5, 0, L14 + N13)," ")," ")</f>
        <v xml:space="preserve"> </v>
      </c>
      <c r="O14" s="54" t="str">
        <f ca="1">IFERROR(IF(ISNUMBER(C14),IF(B15 = B5, 0, IF(B15 = "", 0, O15 + M15))," ")," ")</f>
        <v xml:space="preserve"> </v>
      </c>
      <c r="P14" s="46" t="str">
        <f ca="1">IFERROR(IF(ISNUMBER(C14),N14 + O14," ")," ")</f>
        <v xml:space="preserve"> </v>
      </c>
      <c r="R14" s="15">
        <v>9</v>
      </c>
      <c r="S14" s="53"/>
      <c r="T14" s="46" t="str">
        <f ca="1">IFERROR(MATCH(INDIRECT("S14"),'1.Locations'!B2:B11, 0) - 1," ")</f>
        <v xml:space="preserve"> </v>
      </c>
      <c r="U14" s="46" t="e">
        <f ca="1">IFERROR(IF(ISNUMBER(T14),INDEX('1.Locations'!D2:D11,T14 + 1),NA()),NA())</f>
        <v>#N/A</v>
      </c>
      <c r="V14" s="46" t="e">
        <f ca="1">IFERROR(IF(ISNUMBER(T14),INDEX('1.Locations'!E2:E11,T14 + 1),NA()),NA())</f>
        <v>#N/A</v>
      </c>
      <c r="W14" s="54" t="str">
        <f ca="1">IFERROR(IF(ISNUMBER(T14),INDEX('2.Distances'!C2:C101,T13*10+T14+ 1) +W13," ")," ")</f>
        <v xml:space="preserve"> </v>
      </c>
      <c r="X14" s="55" t="str">
        <f ca="1">IFERROR(IF(ISNUMBER(T14),'3.Vehicles'!F2 * INDEX('2.Distances'!D2:D101,T13*10+T14 + 1) +X13," ")," ")</f>
        <v xml:space="preserve"> </v>
      </c>
      <c r="Y14" s="56" t="str">
        <f ca="1">IFERROR(IF(ISNUMBER(T14),'3.Vehicles'!F2 * INDEX('2.Distances'!D2:D101,T13*10+T14 + 1) +Z13," ")," ")</f>
        <v xml:space="preserve"> </v>
      </c>
      <c r="Z14" s="56" t="str">
        <f ca="1">IFERROR(IF(AND(T5&lt;&gt;T14,ISNUMBER(Y14)),INDEX('1.Locations'!I2:I11,T14 + 1) + MAX(Y14,INDEX('1.Locations'!F2:F11,T14 + 1))," ")," ")</f>
        <v xml:space="preserve"> </v>
      </c>
      <c r="AA14" s="55" t="str">
        <f ca="1">IFERROR(IF(AND(S14 = S5, S15 = ""), Y14 - Z5, Z14 - Z5)," ")</f>
        <v xml:space="preserve"> </v>
      </c>
      <c r="AB14" s="46" t="str">
        <f ca="1">IFERROR(IF(ISNUMBER(T14),INDEX('1.Locations'!L2:L11,T14 + 1) + AB13," ")," ")</f>
        <v xml:space="preserve"> </v>
      </c>
      <c r="AC14" s="54" t="str">
        <f ca="1">IFERROR(IF(ISNUMBER(T14),INDEX('1.Locations'!J2:J11,T14 + 1)," ")," ")</f>
        <v xml:space="preserve"> </v>
      </c>
      <c r="AD14" s="54" t="str">
        <f ca="1">IFERROR(IF(ISNUMBER(T14),INDEX('1.Locations'!K2:K11,T14 + 1)," ")," ")</f>
        <v xml:space="preserve"> </v>
      </c>
      <c r="AE14" s="54" t="str">
        <f ca="1">IFERROR(IF(ISNUMBER(T14),IF(S14 = S5, 0, AC14 + AE13)," ")," ")</f>
        <v xml:space="preserve"> </v>
      </c>
      <c r="AF14" s="54" t="str">
        <f ca="1">IFERROR(IF(ISNUMBER(T14),IF(S15 = S5, 0, IF(S15 = "", 0, AF15 + AD15))," ")," ")</f>
        <v xml:space="preserve"> </v>
      </c>
      <c r="AG14" s="46" t="str">
        <f ca="1">IFERROR(IF(ISNUMBER(T14),AE14 + AF14," ")," ")</f>
        <v xml:space="preserve"> </v>
      </c>
      <c r="AI14" s="15">
        <v>9</v>
      </c>
      <c r="AJ14" s="53"/>
      <c r="AK14" s="46" t="str">
        <f ca="1">IFERROR(MATCH(INDIRECT("AJ14"),'1.Locations'!B2:B11, 0) - 1," ")</f>
        <v xml:space="preserve"> </v>
      </c>
      <c r="AL14" s="46" t="e">
        <f ca="1">IFERROR(IF(ISNUMBER(AK14),INDEX('1.Locations'!D2:D11,AK14 + 1),NA()),NA())</f>
        <v>#N/A</v>
      </c>
      <c r="AM14" s="46" t="e">
        <f ca="1">IFERROR(IF(ISNUMBER(AK14),INDEX('1.Locations'!E2:E11,AK14 + 1),NA()),NA())</f>
        <v>#N/A</v>
      </c>
      <c r="AN14" s="54" t="str">
        <f ca="1">IFERROR(IF(ISNUMBER(AK14),INDEX('2.Distances'!C2:C101,AK13*10+AK14+ 1) +AN13," ")," ")</f>
        <v xml:space="preserve"> </v>
      </c>
      <c r="AO14" s="55" t="str">
        <f ca="1">IFERROR(IF(ISNUMBER(AK14),'3.Vehicles'!F2 * INDEX('2.Distances'!D2:D101,AK13*10+AK14 + 1) +AO13," ")," ")</f>
        <v xml:space="preserve"> </v>
      </c>
      <c r="AP14" s="56" t="str">
        <f ca="1">IFERROR(IF(ISNUMBER(AK14),'3.Vehicles'!F2 * INDEX('2.Distances'!D2:D101,AK13*10+AK14 + 1) +AQ13," ")," ")</f>
        <v xml:space="preserve"> </v>
      </c>
      <c r="AQ14" s="56" t="str">
        <f ca="1">IFERROR(IF(AND(AK5&lt;&gt;AK14,ISNUMBER(AP14)),INDEX('1.Locations'!I2:I11,AK14 + 1) + MAX(AP14,INDEX('1.Locations'!F2:F11,AK14 + 1))," ")," ")</f>
        <v xml:space="preserve"> </v>
      </c>
      <c r="AR14" s="55" t="str">
        <f ca="1">IFERROR(IF(AND(AJ14 = AJ5, AJ15 = ""), AP14 - AQ5, AQ14 - AQ5)," ")</f>
        <v xml:space="preserve"> </v>
      </c>
      <c r="AS14" s="46" t="str">
        <f ca="1">IFERROR(IF(ISNUMBER(AK14),INDEX('1.Locations'!L2:L11,AK14 + 1) + AS13," ")," ")</f>
        <v xml:space="preserve"> </v>
      </c>
      <c r="AT14" s="54" t="str">
        <f ca="1">IFERROR(IF(ISNUMBER(AK14),INDEX('1.Locations'!J2:J11,AK14 + 1)," ")," ")</f>
        <v xml:space="preserve"> </v>
      </c>
      <c r="AU14" s="54" t="str">
        <f ca="1">IFERROR(IF(ISNUMBER(AK14),INDEX('1.Locations'!K2:K11,AK14 + 1)," ")," ")</f>
        <v xml:space="preserve"> </v>
      </c>
      <c r="AV14" s="54" t="str">
        <f ca="1">IFERROR(IF(ISNUMBER(AK14),IF(AJ14 = AJ5, 0, AT14 + AV13)," ")," ")</f>
        <v xml:space="preserve"> </v>
      </c>
      <c r="AW14" s="54" t="str">
        <f ca="1">IFERROR(IF(ISNUMBER(AK14),IF(AJ15 = AJ5, 0, IF(AJ15 = "", 0, AW15 + AU15))," ")," ")</f>
        <v xml:space="preserve"> </v>
      </c>
      <c r="AX14" s="46" t="str">
        <f ca="1">IFERROR(IF(ISNUMBER(AK14),AV14 + AW14," ")," ")</f>
        <v xml:space="preserve"> </v>
      </c>
      <c r="AZ14" s="15">
        <v>9</v>
      </c>
      <c r="BA14" s="53"/>
      <c r="BB14" s="46" t="str">
        <f ca="1">IFERROR(MATCH(INDIRECT("BA14"),'1.Locations'!B2:B11, 0) - 1," ")</f>
        <v xml:space="preserve"> </v>
      </c>
      <c r="BC14" s="46" t="e">
        <f ca="1">IFERROR(IF(ISNUMBER(BB14),INDEX('1.Locations'!D2:D11,BB14 + 1),NA()),NA())</f>
        <v>#N/A</v>
      </c>
      <c r="BD14" s="46" t="e">
        <f ca="1">IFERROR(IF(ISNUMBER(BB14),INDEX('1.Locations'!E2:E11,BB14 + 1),NA()),NA())</f>
        <v>#N/A</v>
      </c>
      <c r="BE14" s="54" t="str">
        <f ca="1">IFERROR(IF(ISNUMBER(BB14),INDEX('2.Distances'!C2:C101,BB13*10+BB14+ 1) +BE13," ")," ")</f>
        <v xml:space="preserve"> </v>
      </c>
      <c r="BF14" s="55" t="str">
        <f ca="1">IFERROR(IF(ISNUMBER(BB14),'3.Vehicles'!F2 * INDEX('2.Distances'!D2:D101,BB13*10+BB14 + 1) +BF13," ")," ")</f>
        <v xml:space="preserve"> </v>
      </c>
      <c r="BG14" s="56" t="str">
        <f ca="1">IFERROR(IF(ISNUMBER(BB14),'3.Vehicles'!F2 * INDEX('2.Distances'!D2:D101,BB13*10+BB14 + 1) +BH13," ")," ")</f>
        <v xml:space="preserve"> </v>
      </c>
      <c r="BH14" s="56" t="str">
        <f ca="1">IFERROR(IF(AND(BB5&lt;&gt;BB14,ISNUMBER(BG14)),INDEX('1.Locations'!I2:I11,BB14 + 1) + MAX(BG14,INDEX('1.Locations'!F2:F11,BB14 + 1))," ")," ")</f>
        <v xml:space="preserve"> </v>
      </c>
      <c r="BI14" s="55" t="str">
        <f ca="1">IFERROR(IF(AND(BA14 = BA5, BA15 = ""), BG14 - BH5, BH14 - BH5)," ")</f>
        <v xml:space="preserve"> </v>
      </c>
      <c r="BJ14" s="46" t="str">
        <f ca="1">IFERROR(IF(ISNUMBER(BB14),INDEX('1.Locations'!L2:L11,BB14 + 1) + BJ13," ")," ")</f>
        <v xml:space="preserve"> </v>
      </c>
      <c r="BK14" s="54" t="str">
        <f ca="1">IFERROR(IF(ISNUMBER(BB14),INDEX('1.Locations'!J2:J11,BB14 + 1)," ")," ")</f>
        <v xml:space="preserve"> </v>
      </c>
      <c r="BL14" s="54" t="str">
        <f ca="1">IFERROR(IF(ISNUMBER(BB14),INDEX('1.Locations'!K2:K11,BB14 + 1)," ")," ")</f>
        <v xml:space="preserve"> </v>
      </c>
      <c r="BM14" s="54" t="str">
        <f ca="1">IFERROR(IF(ISNUMBER(BB14),IF(BA14 = BA5, 0, BK14 + BM13)," ")," ")</f>
        <v xml:space="preserve"> </v>
      </c>
      <c r="BN14" s="54" t="str">
        <f ca="1">IFERROR(IF(ISNUMBER(BB14),IF(BA15 = BA5, 0, IF(BA15 = "", 0, BN15 + BL15))," ")," ")</f>
        <v xml:space="preserve"> </v>
      </c>
      <c r="BO14" s="46" t="str">
        <f ca="1">IFERROR(IF(ISNUMBER(BB14),BM14 + BN14," ")," ")</f>
        <v xml:space="preserve"> </v>
      </c>
      <c r="BQ14" s="15">
        <v>9</v>
      </c>
      <c r="BR14" s="53"/>
      <c r="BS14" s="46" t="str">
        <f ca="1">IFERROR(MATCH(INDIRECT("BR14"),'1.Locations'!B2:B11, 0) - 1," ")</f>
        <v xml:space="preserve"> </v>
      </c>
      <c r="BT14" s="46" t="e">
        <f ca="1">IFERROR(IF(ISNUMBER(BS14),INDEX('1.Locations'!D2:D11,BS14 + 1),NA()),NA())</f>
        <v>#N/A</v>
      </c>
      <c r="BU14" s="46" t="e">
        <f ca="1">IFERROR(IF(ISNUMBER(BS14),INDEX('1.Locations'!E2:E11,BS14 + 1),NA()),NA())</f>
        <v>#N/A</v>
      </c>
      <c r="BV14" s="54" t="str">
        <f ca="1">IFERROR(IF(ISNUMBER(BS14),INDEX('2.Distances'!C2:C101,BS13*10+BS14+ 1) +BV13," ")," ")</f>
        <v xml:space="preserve"> </v>
      </c>
      <c r="BW14" s="55" t="str">
        <f ca="1">IFERROR(IF(ISNUMBER(BS14),'3.Vehicles'!F2 * INDEX('2.Distances'!D2:D101,BS13*10+BS14 + 1) +BW13," ")," ")</f>
        <v xml:space="preserve"> </v>
      </c>
      <c r="BX14" s="56" t="str">
        <f ca="1">IFERROR(IF(ISNUMBER(BS14),'3.Vehicles'!F2 * INDEX('2.Distances'!D2:D101,BS13*10+BS14 + 1) +BY13," ")," ")</f>
        <v xml:space="preserve"> </v>
      </c>
      <c r="BY14" s="56" t="str">
        <f ca="1">IFERROR(IF(AND(BS5&lt;&gt;BS14,ISNUMBER(BX14)),INDEX('1.Locations'!I2:I11,BS14 + 1) + MAX(BX14,INDEX('1.Locations'!F2:F11,BS14 + 1))," ")," ")</f>
        <v xml:space="preserve"> </v>
      </c>
      <c r="BZ14" s="55" t="str">
        <f ca="1">IFERROR(IF(AND(BR14 = BR5, BR15 = ""), BX14 - BY5, BY14 - BY5)," ")</f>
        <v xml:space="preserve"> </v>
      </c>
      <c r="CA14" s="46" t="str">
        <f ca="1">IFERROR(IF(ISNUMBER(BS14),INDEX('1.Locations'!L2:L11,BS14 + 1) + CA13," ")," ")</f>
        <v xml:space="preserve"> </v>
      </c>
      <c r="CB14" s="54" t="str">
        <f ca="1">IFERROR(IF(ISNUMBER(BS14),INDEX('1.Locations'!J2:J11,BS14 + 1)," ")," ")</f>
        <v xml:space="preserve"> </v>
      </c>
      <c r="CC14" s="54" t="str">
        <f ca="1">IFERROR(IF(ISNUMBER(BS14),INDEX('1.Locations'!K2:K11,BS14 + 1)," ")," ")</f>
        <v xml:space="preserve"> </v>
      </c>
      <c r="CD14" s="54" t="str">
        <f ca="1">IFERROR(IF(ISNUMBER(BS14),IF(BR14 = BR5, 0, CB14 + CD13)," ")," ")</f>
        <v xml:space="preserve"> </v>
      </c>
      <c r="CE14" s="54" t="str">
        <f ca="1">IFERROR(IF(ISNUMBER(BS14),IF(BR15 = BR5, 0, IF(BR15 = "", 0, CE15 + CC15))," ")," ")</f>
        <v xml:space="preserve"> </v>
      </c>
      <c r="CF14" s="46" t="str">
        <f ca="1">IFERROR(IF(ISNUMBER(BS14),CD14 + CE14," ")," ")</f>
        <v xml:space="preserve"> </v>
      </c>
    </row>
    <row r="15" spans="1:84" x14ac:dyDescent="0.35">
      <c r="A15" s="13">
        <v>10</v>
      </c>
      <c r="B15" s="57"/>
      <c r="C15" s="45" t="str">
        <f ca="1">IFERROR(MATCH(INDIRECT("B15"),'1.Locations'!B2:B11, 0) - 1," ")</f>
        <v xml:space="preserve"> </v>
      </c>
      <c r="D15" s="45" t="e">
        <f ca="1">IFERROR(IF(ISNUMBER(C15),INDEX('1.Locations'!D2:D11,C15 + 1),NA()),NA())</f>
        <v>#N/A</v>
      </c>
      <c r="E15" s="45" t="e">
        <f ca="1">IFERROR(IF(ISNUMBER(C15),INDEX('1.Locations'!E2:E11,C15 + 1),NA()),NA())</f>
        <v>#N/A</v>
      </c>
      <c r="F15" s="50" t="str">
        <f ca="1">IFERROR(IF(ISNUMBER(C15),INDEX('2.Distances'!C2:C101,C14*10+C15+ 1) +F14," ")," ")</f>
        <v xml:space="preserve"> </v>
      </c>
      <c r="G15" s="51" t="str">
        <f ca="1">IFERROR(IF(ISNUMBER(C15),'3.Vehicles'!F2 * INDEX('2.Distances'!D2:D101,C14*10+C15 + 1) +G14," ")," ")</f>
        <v xml:space="preserve"> </v>
      </c>
      <c r="H15" s="52" t="str">
        <f ca="1">IFERROR(IF(ISNUMBER(C15),'3.Vehicles'!F2 * INDEX('2.Distances'!D2:D101,C14*10+C15 + 1) +I14," ")," ")</f>
        <v xml:space="preserve"> </v>
      </c>
      <c r="I15" s="52" t="str">
        <f ca="1">IFERROR(IF(AND(C5&lt;&gt;C15,ISNUMBER(H15)),INDEX('1.Locations'!I2:I11,C15 + 1) + MAX(H15,INDEX('1.Locations'!F2:F11,C15 + 1))," ")," ")</f>
        <v xml:space="preserve"> </v>
      </c>
      <c r="J15" s="51" t="str">
        <f ca="1">IFERROR(IF(AND(B15 = B5, B16 = ""), H15 - I5, I15 - I5)," ")</f>
        <v xml:space="preserve"> </v>
      </c>
      <c r="K15" s="45" t="str">
        <f ca="1">IFERROR(IF(ISNUMBER(C15),INDEX('1.Locations'!L2:L11,C15 + 1) + K14," ")," ")</f>
        <v xml:space="preserve"> </v>
      </c>
      <c r="L15" s="50" t="str">
        <f ca="1">IFERROR(IF(ISNUMBER(C15),INDEX('1.Locations'!J2:J11,C15 + 1)," ")," ")</f>
        <v xml:space="preserve"> </v>
      </c>
      <c r="M15" s="50" t="str">
        <f ca="1">IFERROR(IF(ISNUMBER(C15),INDEX('1.Locations'!K2:K11,C15 + 1)," ")," ")</f>
        <v xml:space="preserve"> </v>
      </c>
      <c r="N15" s="50" t="str">
        <f ca="1">IFERROR(IF(ISNUMBER(C15),IF(B15 = B5, 0, L15 + N14)," ")," ")</f>
        <v xml:space="preserve"> </v>
      </c>
      <c r="O15" s="50" t="str">
        <f ca="1">IFERROR(IF(ISNUMBER(C15),IF(B16 = B5, 0, IF(B16 = "", 0, O16 + M16))," ")," ")</f>
        <v xml:space="preserve"> </v>
      </c>
      <c r="P15" s="45" t="str">
        <f ca="1">IFERROR(IF(ISNUMBER(C15),N15 + O15," ")," ")</f>
        <v xml:space="preserve"> </v>
      </c>
      <c r="R15" s="13">
        <v>10</v>
      </c>
      <c r="S15" s="57"/>
      <c r="T15" s="45" t="str">
        <f ca="1">IFERROR(MATCH(INDIRECT("S15"),'1.Locations'!B2:B11, 0) - 1," ")</f>
        <v xml:space="preserve"> </v>
      </c>
      <c r="U15" s="45" t="e">
        <f ca="1">IFERROR(IF(ISNUMBER(T15),INDEX('1.Locations'!D2:D11,T15 + 1),NA()),NA())</f>
        <v>#N/A</v>
      </c>
      <c r="V15" s="45" t="e">
        <f ca="1">IFERROR(IF(ISNUMBER(T15),INDEX('1.Locations'!E2:E11,T15 + 1),NA()),NA())</f>
        <v>#N/A</v>
      </c>
      <c r="W15" s="50" t="str">
        <f ca="1">IFERROR(IF(ISNUMBER(T15),INDEX('2.Distances'!C2:C101,T14*10+T15+ 1) +W14," ")," ")</f>
        <v xml:space="preserve"> </v>
      </c>
      <c r="X15" s="51" t="str">
        <f ca="1">IFERROR(IF(ISNUMBER(T15),'3.Vehicles'!F2 * INDEX('2.Distances'!D2:D101,T14*10+T15 + 1) +X14," ")," ")</f>
        <v xml:space="preserve"> </v>
      </c>
      <c r="Y15" s="52" t="str">
        <f ca="1">IFERROR(IF(ISNUMBER(T15),'3.Vehicles'!F2 * INDEX('2.Distances'!D2:D101,T14*10+T15 + 1) +Z14," ")," ")</f>
        <v xml:space="preserve"> </v>
      </c>
      <c r="Z15" s="52" t="str">
        <f ca="1">IFERROR(IF(AND(T5&lt;&gt;T15,ISNUMBER(Y15)),INDEX('1.Locations'!I2:I11,T15 + 1) + MAX(Y15,INDEX('1.Locations'!F2:F11,T15 + 1))," ")," ")</f>
        <v xml:space="preserve"> </v>
      </c>
      <c r="AA15" s="51" t="str">
        <f ca="1">IFERROR(IF(AND(S15 = S5, S16 = ""), Y15 - Z5, Z15 - Z5)," ")</f>
        <v xml:space="preserve"> </v>
      </c>
      <c r="AB15" s="45" t="str">
        <f ca="1">IFERROR(IF(ISNUMBER(T15),INDEX('1.Locations'!L2:L11,T15 + 1) + AB14," ")," ")</f>
        <v xml:space="preserve"> </v>
      </c>
      <c r="AC15" s="50" t="str">
        <f ca="1">IFERROR(IF(ISNUMBER(T15),INDEX('1.Locations'!J2:J11,T15 + 1)," ")," ")</f>
        <v xml:space="preserve"> </v>
      </c>
      <c r="AD15" s="50" t="str">
        <f ca="1">IFERROR(IF(ISNUMBER(T15),INDEX('1.Locations'!K2:K11,T15 + 1)," ")," ")</f>
        <v xml:space="preserve"> </v>
      </c>
      <c r="AE15" s="50" t="str">
        <f ca="1">IFERROR(IF(ISNUMBER(T15),IF(S15 = S5, 0, AC15 + AE14)," ")," ")</f>
        <v xml:space="preserve"> </v>
      </c>
      <c r="AF15" s="50" t="str">
        <f ca="1">IFERROR(IF(ISNUMBER(T15),IF(S16 = S5, 0, IF(S16 = "", 0, AF16 + AD16))," ")," ")</f>
        <v xml:space="preserve"> </v>
      </c>
      <c r="AG15" s="45" t="str">
        <f ca="1">IFERROR(IF(ISNUMBER(T15),AE15 + AF15," ")," ")</f>
        <v xml:space="preserve"> </v>
      </c>
      <c r="AI15" s="13">
        <v>10</v>
      </c>
      <c r="AJ15" s="57"/>
      <c r="AK15" s="45" t="str">
        <f ca="1">IFERROR(MATCH(INDIRECT("AJ15"),'1.Locations'!B2:B11, 0) - 1," ")</f>
        <v xml:space="preserve"> </v>
      </c>
      <c r="AL15" s="45" t="e">
        <f ca="1">IFERROR(IF(ISNUMBER(AK15),INDEX('1.Locations'!D2:D11,AK15 + 1),NA()),NA())</f>
        <v>#N/A</v>
      </c>
      <c r="AM15" s="45" t="e">
        <f ca="1">IFERROR(IF(ISNUMBER(AK15),INDEX('1.Locations'!E2:E11,AK15 + 1),NA()),NA())</f>
        <v>#N/A</v>
      </c>
      <c r="AN15" s="50" t="str">
        <f ca="1">IFERROR(IF(ISNUMBER(AK15),INDEX('2.Distances'!C2:C101,AK14*10+AK15+ 1) +AN14," ")," ")</f>
        <v xml:space="preserve"> </v>
      </c>
      <c r="AO15" s="51" t="str">
        <f ca="1">IFERROR(IF(ISNUMBER(AK15),'3.Vehicles'!F2 * INDEX('2.Distances'!D2:D101,AK14*10+AK15 + 1) +AO14," ")," ")</f>
        <v xml:space="preserve"> </v>
      </c>
      <c r="AP15" s="52" t="str">
        <f ca="1">IFERROR(IF(ISNUMBER(AK15),'3.Vehicles'!F2 * INDEX('2.Distances'!D2:D101,AK14*10+AK15 + 1) +AQ14," ")," ")</f>
        <v xml:space="preserve"> </v>
      </c>
      <c r="AQ15" s="52" t="str">
        <f ca="1">IFERROR(IF(AND(AK5&lt;&gt;AK15,ISNUMBER(AP15)),INDEX('1.Locations'!I2:I11,AK15 + 1) + MAX(AP15,INDEX('1.Locations'!F2:F11,AK15 + 1))," ")," ")</f>
        <v xml:space="preserve"> </v>
      </c>
      <c r="AR15" s="51" t="str">
        <f ca="1">IFERROR(IF(AND(AJ15 = AJ5, AJ16 = ""), AP15 - AQ5, AQ15 - AQ5)," ")</f>
        <v xml:space="preserve"> </v>
      </c>
      <c r="AS15" s="45" t="str">
        <f ca="1">IFERROR(IF(ISNUMBER(AK15),INDEX('1.Locations'!L2:L11,AK15 + 1) + AS14," ")," ")</f>
        <v xml:space="preserve"> </v>
      </c>
      <c r="AT15" s="50" t="str">
        <f ca="1">IFERROR(IF(ISNUMBER(AK15),INDEX('1.Locations'!J2:J11,AK15 + 1)," ")," ")</f>
        <v xml:space="preserve"> </v>
      </c>
      <c r="AU15" s="50" t="str">
        <f ca="1">IFERROR(IF(ISNUMBER(AK15),INDEX('1.Locations'!K2:K11,AK15 + 1)," ")," ")</f>
        <v xml:space="preserve"> </v>
      </c>
      <c r="AV15" s="50" t="str">
        <f ca="1">IFERROR(IF(ISNUMBER(AK15),IF(AJ15 = AJ5, 0, AT15 + AV14)," ")," ")</f>
        <v xml:space="preserve"> </v>
      </c>
      <c r="AW15" s="50" t="str">
        <f ca="1">IFERROR(IF(ISNUMBER(AK15),IF(AJ16 = AJ5, 0, IF(AJ16 = "", 0, AW16 + AU16))," ")," ")</f>
        <v xml:space="preserve"> </v>
      </c>
      <c r="AX15" s="45" t="str">
        <f ca="1">IFERROR(IF(ISNUMBER(AK15),AV15 + AW15," ")," ")</f>
        <v xml:space="preserve"> </v>
      </c>
      <c r="AZ15" s="13">
        <v>10</v>
      </c>
      <c r="BA15" s="57"/>
      <c r="BB15" s="45" t="str">
        <f ca="1">IFERROR(MATCH(INDIRECT("BA15"),'1.Locations'!B2:B11, 0) - 1," ")</f>
        <v xml:space="preserve"> </v>
      </c>
      <c r="BC15" s="45" t="e">
        <f ca="1">IFERROR(IF(ISNUMBER(BB15),INDEX('1.Locations'!D2:D11,BB15 + 1),NA()),NA())</f>
        <v>#N/A</v>
      </c>
      <c r="BD15" s="45" t="e">
        <f ca="1">IFERROR(IF(ISNUMBER(BB15),INDEX('1.Locations'!E2:E11,BB15 + 1),NA()),NA())</f>
        <v>#N/A</v>
      </c>
      <c r="BE15" s="50" t="str">
        <f ca="1">IFERROR(IF(ISNUMBER(BB15),INDEX('2.Distances'!C2:C101,BB14*10+BB15+ 1) +BE14," ")," ")</f>
        <v xml:space="preserve"> </v>
      </c>
      <c r="BF15" s="51" t="str">
        <f ca="1">IFERROR(IF(ISNUMBER(BB15),'3.Vehicles'!F2 * INDEX('2.Distances'!D2:D101,BB14*10+BB15 + 1) +BF14," ")," ")</f>
        <v xml:space="preserve"> </v>
      </c>
      <c r="BG15" s="52" t="str">
        <f ca="1">IFERROR(IF(ISNUMBER(BB15),'3.Vehicles'!F2 * INDEX('2.Distances'!D2:D101,BB14*10+BB15 + 1) +BH14," ")," ")</f>
        <v xml:space="preserve"> </v>
      </c>
      <c r="BH15" s="52" t="str">
        <f ca="1">IFERROR(IF(AND(BB5&lt;&gt;BB15,ISNUMBER(BG15)),INDEX('1.Locations'!I2:I11,BB15 + 1) + MAX(BG15,INDEX('1.Locations'!F2:F11,BB15 + 1))," ")," ")</f>
        <v xml:space="preserve"> </v>
      </c>
      <c r="BI15" s="51" t="str">
        <f ca="1">IFERROR(IF(AND(BA15 = BA5, BA16 = ""), BG15 - BH5, BH15 - BH5)," ")</f>
        <v xml:space="preserve"> </v>
      </c>
      <c r="BJ15" s="45" t="str">
        <f ca="1">IFERROR(IF(ISNUMBER(BB15),INDEX('1.Locations'!L2:L11,BB15 + 1) + BJ14," ")," ")</f>
        <v xml:space="preserve"> </v>
      </c>
      <c r="BK15" s="50" t="str">
        <f ca="1">IFERROR(IF(ISNUMBER(BB15),INDEX('1.Locations'!J2:J11,BB15 + 1)," ")," ")</f>
        <v xml:space="preserve"> </v>
      </c>
      <c r="BL15" s="50" t="str">
        <f ca="1">IFERROR(IF(ISNUMBER(BB15),INDEX('1.Locations'!K2:K11,BB15 + 1)," ")," ")</f>
        <v xml:space="preserve"> </v>
      </c>
      <c r="BM15" s="50" t="str">
        <f ca="1">IFERROR(IF(ISNUMBER(BB15),IF(BA15 = BA5, 0, BK15 + BM14)," ")," ")</f>
        <v xml:space="preserve"> </v>
      </c>
      <c r="BN15" s="50" t="str">
        <f ca="1">IFERROR(IF(ISNUMBER(BB15),IF(BA16 = BA5, 0, IF(BA16 = "", 0, BN16 + BL16))," ")," ")</f>
        <v xml:space="preserve"> </v>
      </c>
      <c r="BO15" s="45" t="str">
        <f ca="1">IFERROR(IF(ISNUMBER(BB15),BM15 + BN15," ")," ")</f>
        <v xml:space="preserve"> </v>
      </c>
      <c r="BQ15" s="13">
        <v>10</v>
      </c>
      <c r="BR15" s="57"/>
      <c r="BS15" s="45" t="str">
        <f ca="1">IFERROR(MATCH(INDIRECT("BR15"),'1.Locations'!B2:B11, 0) - 1," ")</f>
        <v xml:space="preserve"> </v>
      </c>
      <c r="BT15" s="45" t="e">
        <f ca="1">IFERROR(IF(ISNUMBER(BS15),INDEX('1.Locations'!D2:D11,BS15 + 1),NA()),NA())</f>
        <v>#N/A</v>
      </c>
      <c r="BU15" s="45" t="e">
        <f ca="1">IFERROR(IF(ISNUMBER(BS15),INDEX('1.Locations'!E2:E11,BS15 + 1),NA()),NA())</f>
        <v>#N/A</v>
      </c>
      <c r="BV15" s="50" t="str">
        <f ca="1">IFERROR(IF(ISNUMBER(BS15),INDEX('2.Distances'!C2:C101,BS14*10+BS15+ 1) +BV14," ")," ")</f>
        <v xml:space="preserve"> </v>
      </c>
      <c r="BW15" s="51" t="str">
        <f ca="1">IFERROR(IF(ISNUMBER(BS15),'3.Vehicles'!F2 * INDEX('2.Distances'!D2:D101,BS14*10+BS15 + 1) +BW14," ")," ")</f>
        <v xml:space="preserve"> </v>
      </c>
      <c r="BX15" s="52" t="str">
        <f ca="1">IFERROR(IF(ISNUMBER(BS15),'3.Vehicles'!F2 * INDEX('2.Distances'!D2:D101,BS14*10+BS15 + 1) +BY14," ")," ")</f>
        <v xml:space="preserve"> </v>
      </c>
      <c r="BY15" s="52" t="str">
        <f ca="1">IFERROR(IF(AND(BS5&lt;&gt;BS15,ISNUMBER(BX15)),INDEX('1.Locations'!I2:I11,BS15 + 1) + MAX(BX15,INDEX('1.Locations'!F2:F11,BS15 + 1))," ")," ")</f>
        <v xml:space="preserve"> </v>
      </c>
      <c r="BZ15" s="51" t="str">
        <f ca="1">IFERROR(IF(AND(BR15 = BR5, BR16 = ""), BX15 - BY5, BY15 - BY5)," ")</f>
        <v xml:space="preserve"> </v>
      </c>
      <c r="CA15" s="45" t="str">
        <f ca="1">IFERROR(IF(ISNUMBER(BS15),INDEX('1.Locations'!L2:L11,BS15 + 1) + CA14," ")," ")</f>
        <v xml:space="preserve"> </v>
      </c>
      <c r="CB15" s="50" t="str">
        <f ca="1">IFERROR(IF(ISNUMBER(BS15),INDEX('1.Locations'!J2:J11,BS15 + 1)," ")," ")</f>
        <v xml:space="preserve"> </v>
      </c>
      <c r="CC15" s="50" t="str">
        <f ca="1">IFERROR(IF(ISNUMBER(BS15),INDEX('1.Locations'!K2:K11,BS15 + 1)," ")," ")</f>
        <v xml:space="preserve"> </v>
      </c>
      <c r="CD15" s="50" t="str">
        <f ca="1">IFERROR(IF(ISNUMBER(BS15),IF(BR15 = BR5, 0, CB15 + CD14)," ")," ")</f>
        <v xml:space="preserve"> </v>
      </c>
      <c r="CE15" s="50" t="str">
        <f ca="1">IFERROR(IF(ISNUMBER(BS15),IF(BR16 = BR5, 0, IF(BR16 = "", 0, CE16 + CC16))," ")," ")</f>
        <v xml:space="preserve"> </v>
      </c>
      <c r="CF15" s="45" t="str">
        <f ca="1">IFERROR(IF(ISNUMBER(BS15),CD15 + CE15," ")," ")</f>
        <v xml:space="preserve"> </v>
      </c>
    </row>
    <row r="17" spans="1:1" x14ac:dyDescent="0.35">
      <c r="A17" s="9" t="s">
        <v>112</v>
      </c>
    </row>
  </sheetData>
  <conditionalFormatting sqref="F6:F15">
    <cfRule type="cellIs" dxfId="178" priority="20" stopIfTrue="1" operator="equal">
      <formula>" "</formula>
    </cfRule>
  </conditionalFormatting>
  <conditionalFormatting sqref="P6:P15">
    <cfRule type="cellIs" dxfId="176" priority="19" stopIfTrue="1" operator="equal">
      <formula>" "</formula>
    </cfRule>
  </conditionalFormatting>
  <conditionalFormatting sqref="P6:P15">
    <cfRule type="cellIs" dxfId="174" priority="55" stopIfTrue="1" operator="lessThan">
      <formula>0</formula>
    </cfRule>
  </conditionalFormatting>
  <conditionalFormatting sqref="G6:G15">
    <cfRule type="cellIs" dxfId="173" priority="18" stopIfTrue="1" operator="equal">
      <formula>" "</formula>
    </cfRule>
  </conditionalFormatting>
  <conditionalFormatting sqref="J6:J15">
    <cfRule type="cellIs" dxfId="171" priority="17" stopIfTrue="1" operator="equal">
      <formula>" "</formula>
    </cfRule>
  </conditionalFormatting>
  <conditionalFormatting sqref="I3">
    <cfRule type="expression" dxfId="169" priority="58" stopIfTrue="1">
      <formula>ISERROR(I3)</formula>
    </cfRule>
  </conditionalFormatting>
  <conditionalFormatting sqref="W6:W15">
    <cfRule type="cellIs" dxfId="136" priority="16" stopIfTrue="1" operator="equal">
      <formula>" "</formula>
    </cfRule>
  </conditionalFormatting>
  <conditionalFormatting sqref="AG6:AG15">
    <cfRule type="cellIs" dxfId="134" priority="15" stopIfTrue="1" operator="equal">
      <formula>" "</formula>
    </cfRule>
  </conditionalFormatting>
  <conditionalFormatting sqref="AG6:AG15">
    <cfRule type="cellIs" dxfId="132" priority="93" stopIfTrue="1" operator="lessThan">
      <formula>0</formula>
    </cfRule>
  </conditionalFormatting>
  <conditionalFormatting sqref="X6:X15">
    <cfRule type="cellIs" dxfId="131" priority="14" stopIfTrue="1" operator="equal">
      <formula>" "</formula>
    </cfRule>
  </conditionalFormatting>
  <conditionalFormatting sqref="AA6:AA15">
    <cfRule type="cellIs" dxfId="129" priority="13" stopIfTrue="1" operator="equal">
      <formula>" "</formula>
    </cfRule>
  </conditionalFormatting>
  <conditionalFormatting sqref="Z3">
    <cfRule type="expression" dxfId="127" priority="96" stopIfTrue="1">
      <formula>ISERROR(Z3)</formula>
    </cfRule>
  </conditionalFormatting>
  <conditionalFormatting sqref="AN6:AN15">
    <cfRule type="cellIs" dxfId="94" priority="12" stopIfTrue="1" operator="equal">
      <formula>" "</formula>
    </cfRule>
  </conditionalFormatting>
  <conditionalFormatting sqref="AX6:AX15">
    <cfRule type="cellIs" dxfId="92" priority="11" stopIfTrue="1" operator="equal">
      <formula>" "</formula>
    </cfRule>
  </conditionalFormatting>
  <conditionalFormatting sqref="AX6:AX15">
    <cfRule type="cellIs" dxfId="90" priority="131" stopIfTrue="1" operator="lessThan">
      <formula>0</formula>
    </cfRule>
  </conditionalFormatting>
  <conditionalFormatting sqref="AO6:AO15">
    <cfRule type="cellIs" dxfId="89" priority="10" stopIfTrue="1" operator="equal">
      <formula>" "</formula>
    </cfRule>
  </conditionalFormatting>
  <conditionalFormatting sqref="AR6:AR15">
    <cfRule type="cellIs" dxfId="87" priority="9" stopIfTrue="1" operator="equal">
      <formula>" "</formula>
    </cfRule>
  </conditionalFormatting>
  <conditionalFormatting sqref="AQ3">
    <cfRule type="expression" dxfId="85" priority="134" stopIfTrue="1">
      <formula>ISERROR(AQ3)</formula>
    </cfRule>
  </conditionalFormatting>
  <conditionalFormatting sqref="BE6:BE15">
    <cfRule type="cellIs" dxfId="52" priority="8" stopIfTrue="1" operator="equal">
      <formula>" "</formula>
    </cfRule>
  </conditionalFormatting>
  <conditionalFormatting sqref="BO6:BO15">
    <cfRule type="cellIs" dxfId="50" priority="7" stopIfTrue="1" operator="equal">
      <formula>" "</formula>
    </cfRule>
  </conditionalFormatting>
  <conditionalFormatting sqref="BO6:BO15">
    <cfRule type="cellIs" dxfId="48" priority="169" stopIfTrue="1" operator="lessThan">
      <formula>0</formula>
    </cfRule>
  </conditionalFormatting>
  <conditionalFormatting sqref="BF6:BF15">
    <cfRule type="cellIs" dxfId="47" priority="6" stopIfTrue="1" operator="equal">
      <formula>" "</formula>
    </cfRule>
  </conditionalFormatting>
  <conditionalFormatting sqref="BI6:BI15">
    <cfRule type="cellIs" dxfId="45" priority="5" stopIfTrue="1" operator="equal">
      <formula>" "</formula>
    </cfRule>
  </conditionalFormatting>
  <conditionalFormatting sqref="BH3">
    <cfRule type="expression" dxfId="43" priority="172" stopIfTrue="1">
      <formula>ISERROR(BH3)</formula>
    </cfRule>
  </conditionalFormatting>
  <conditionalFormatting sqref="BV6:BV15">
    <cfRule type="cellIs" dxfId="10" priority="4" stopIfTrue="1" operator="equal">
      <formula>" "</formula>
    </cfRule>
  </conditionalFormatting>
  <conditionalFormatting sqref="CF6:CF15">
    <cfRule type="cellIs" dxfId="8" priority="3" stopIfTrue="1" operator="equal">
      <formula>" "</formula>
    </cfRule>
  </conditionalFormatting>
  <conditionalFormatting sqref="CF6:CF15">
    <cfRule type="cellIs" dxfId="6" priority="207" stopIfTrue="1" operator="lessThan">
      <formula>0</formula>
    </cfRule>
  </conditionalFormatting>
  <conditionalFormatting sqref="BW6:BW15">
    <cfRule type="cellIs" dxfId="5" priority="2" stopIfTrue="1" operator="equal">
      <formula>" "</formula>
    </cfRule>
  </conditionalFormatting>
  <conditionalFormatting sqref="BZ6:BZ15">
    <cfRule type="cellIs" dxfId="3" priority="1" stopIfTrue="1" operator="equal">
      <formula>" "</formula>
    </cfRule>
  </conditionalFormatting>
  <conditionalFormatting sqref="BY3">
    <cfRule type="expression" dxfId="1" priority="210" stopIfTrue="1">
      <formula>ISERROR(BY3)</formula>
    </cfRule>
  </conditionalFormatting>
  <conditionalFormatting sqref="B1">
    <cfRule type="expression" dxfId="0" priority="211" stopIfTrue="1">
      <formula>ISERROR(B1)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8FF04FF9-91D9-453C-B3A9-9BBEA696C11B}">
            <xm:f>(60 * HOUR(H5) + MINUTE(H5)) &gt;(60 * HOUR(INDEX('1.Locations'!G2:G11,C5 + 1)) +MINUTE(INDEX('1.Locations'!G2:G11,C5 + 1)))</xm:f>
            <x14:dxf>
              <fill>
                <patternFill>
                  <bgColor indexed="10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22" stopIfTrue="1" id="{784D8DD2-5B80-4418-A867-4B8FE7550E96}">
            <xm:f>(60 * HOUR(I5) + MINUTE(I5)) &gt;(60 * HOUR(INDEX('1.Locations'!G2:G11,C5 + 1)) +MINUTE(INDEX('1.Locations'!G2:G11,C5 + 1)))</xm:f>
            <x14:dxf>
              <fill>
                <patternFill>
                  <bgColor indexed="10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cellIs" priority="23" stopIfTrue="1" operator="lessThan" id="{47EF1168-39D1-4135-B4F2-DF00BE5C21FA}">
            <xm:f>INDEX('1.Locations'!F2:F11,C6 + 1)</xm:f>
            <x14:dxf>
              <fill>
                <patternFill>
                  <bgColor indexed="52"/>
                </patternFill>
              </fill>
            </x14:dxf>
          </x14:cfRule>
          <x14:cfRule type="expression" priority="24" stopIfTrue="1" id="{A46F676C-C45F-4232-94E2-F157850D8F61}">
            <xm:f>(60 * HOUR(H6) + MINUTE(H6)) &gt;(60 * HOUR(INDEX('1.Locations'!G2:G11,C6 + 1)) +MINUTE(INDEX('1.Locations'!G2:G11,C6 + 1)))</xm:f>
            <x14:dxf>
              <fill>
                <patternFill>
                  <bgColor indexed="10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25" stopIfTrue="1" id="{43715503-EF13-4077-98B7-C86165D0C18F}">
            <xm:f>(60 * HOUR(I6) + MINUTE(I6)) &gt;(60 * HOUR(INDEX('1.Locations'!G2:G11,C6 + 1)) +MINUTE(INDEX('1.Locations'!G2:G11,C6 + 1)))</xm:f>
            <x14:dxf>
              <fill>
                <patternFill>
                  <bgColor indexed="10"/>
                </patternFill>
              </fill>
            </x14:dxf>
          </x14:cfRule>
          <xm:sqref>I6</xm:sqref>
        </x14:conditionalFormatting>
        <x14:conditionalFormatting xmlns:xm="http://schemas.microsoft.com/office/excel/2006/main">
          <x14:cfRule type="cellIs" priority="26" stopIfTrue="1" operator="lessThan" id="{D2DDEE10-B8FC-4762-B245-A3C233AB7C5E}">
            <xm:f>INDEX('1.Locations'!F2:F11,C7 + 1)</xm:f>
            <x14:dxf>
              <fill>
                <patternFill>
                  <bgColor indexed="52"/>
                </patternFill>
              </fill>
            </x14:dxf>
          </x14:cfRule>
          <x14:cfRule type="expression" priority="27" stopIfTrue="1" id="{A3A83557-38B0-4B9E-AE74-FB12DBE8F69A}">
            <xm:f>(60 * HOUR(H7) + MINUTE(H7)) &gt;(60 * HOUR(INDEX('1.Locations'!G2:G11,C7 + 1)) +MINUTE(INDEX('1.Locations'!G2:G11,C7 + 1)))</xm:f>
            <x14:dxf>
              <fill>
                <patternFill>
                  <bgColor indexed="10"/>
                </patternFill>
              </fill>
            </x14:dxf>
          </x14:cfRule>
          <xm:sqref>H7</xm:sqref>
        </x14:conditionalFormatting>
        <x14:conditionalFormatting xmlns:xm="http://schemas.microsoft.com/office/excel/2006/main">
          <x14:cfRule type="expression" priority="28" stopIfTrue="1" id="{F8B68E32-C2AE-423F-A629-98CA7961D43D}">
            <xm:f>(60 * HOUR(I7) + MINUTE(I7)) &gt;(60 * HOUR(INDEX('1.Locations'!G2:G11,C7 + 1)) +MINUTE(INDEX('1.Locations'!G2:G11,C7 + 1)))</xm:f>
            <x14:dxf>
              <fill>
                <patternFill>
                  <bgColor indexed="10"/>
                </patternFill>
              </fill>
            </x14:dxf>
          </x14:cfRule>
          <xm:sqref>I7</xm:sqref>
        </x14:conditionalFormatting>
        <x14:conditionalFormatting xmlns:xm="http://schemas.microsoft.com/office/excel/2006/main">
          <x14:cfRule type="cellIs" priority="29" stopIfTrue="1" operator="lessThan" id="{845D96C6-766E-4A98-A179-14F70AA14585}">
            <xm:f>INDEX('1.Locations'!F2:F11,C8 + 1)</xm:f>
            <x14:dxf>
              <fill>
                <patternFill>
                  <bgColor indexed="52"/>
                </patternFill>
              </fill>
            </x14:dxf>
          </x14:cfRule>
          <x14:cfRule type="expression" priority="30" stopIfTrue="1" id="{0B47DBA5-E978-41AC-BC81-8D172CD79723}">
            <xm:f>(60 * HOUR(H8) + MINUTE(H8)) &gt;(60 * HOUR(INDEX('1.Locations'!G2:G11,C8 + 1)) +MINUTE(INDEX('1.Locations'!G2:G11,C8 + 1)))</xm:f>
            <x14:dxf>
              <fill>
                <patternFill>
                  <bgColor indexed="10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31" stopIfTrue="1" id="{518DC122-D24C-47A9-B916-0416B68187F9}">
            <xm:f>(60 * HOUR(I8) + MINUTE(I8)) &gt;(60 * HOUR(INDEX('1.Locations'!G2:G11,C8 + 1)) +MINUTE(INDEX('1.Locations'!G2:G11,C8 + 1)))</xm:f>
            <x14:dxf>
              <fill>
                <patternFill>
                  <bgColor indexed="10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cellIs" priority="32" stopIfTrue="1" operator="lessThan" id="{DC9B4DDB-B9D7-45A7-8CFC-B37947F6FBF7}">
            <xm:f>INDEX('1.Locations'!F2:F11,C9 + 1)</xm:f>
            <x14:dxf>
              <fill>
                <patternFill>
                  <bgColor indexed="52"/>
                </patternFill>
              </fill>
            </x14:dxf>
          </x14:cfRule>
          <x14:cfRule type="expression" priority="33" stopIfTrue="1" id="{4C56C440-34C4-4464-A25C-23D892E4832A}">
            <xm:f>(60 * HOUR(H9) + MINUTE(H9)) &gt;(60 * HOUR(INDEX('1.Locations'!G2:G11,C9 + 1)) +MINUTE(INDEX('1.Locations'!G2:G11,C9 + 1)))</xm:f>
            <x14:dxf>
              <fill>
                <patternFill>
                  <bgColor indexed="10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34" stopIfTrue="1" id="{A9DFA7DB-699F-4B6A-AAB5-776728411D92}">
            <xm:f>(60 * HOUR(I9) + MINUTE(I9)) &gt;(60 * HOUR(INDEX('1.Locations'!G2:G11,C9 + 1)) +MINUTE(INDEX('1.Locations'!G2:G11,C9 + 1)))</xm:f>
            <x14:dxf>
              <fill>
                <patternFill>
                  <bgColor indexed="10"/>
                </patternFill>
              </fill>
            </x14:dxf>
          </x14:cfRule>
          <xm:sqref>I9</xm:sqref>
        </x14:conditionalFormatting>
        <x14:conditionalFormatting xmlns:xm="http://schemas.microsoft.com/office/excel/2006/main">
          <x14:cfRule type="cellIs" priority="35" stopIfTrue="1" operator="lessThan" id="{9ED5B7D2-C362-4A1E-967A-CF27707ED673}">
            <xm:f>INDEX('1.Locations'!F2:F11,C10 + 1)</xm:f>
            <x14:dxf>
              <fill>
                <patternFill>
                  <bgColor indexed="52"/>
                </patternFill>
              </fill>
            </x14:dxf>
          </x14:cfRule>
          <x14:cfRule type="expression" priority="36" stopIfTrue="1" id="{88DAF8FB-E5AA-4C06-A268-2289C1FD9FCF}">
            <xm:f>(60 * HOUR(H10) + MINUTE(H10)) &gt;(60 * HOUR(INDEX('1.Locations'!G2:G11,C10 + 1)) +MINUTE(INDEX('1.Locations'!G2:G11,C10 + 1)))</xm:f>
            <x14:dxf>
              <fill>
                <patternFill>
                  <bgColor indexed="10"/>
                </patternFill>
              </fill>
            </x14:dxf>
          </x14:cfRule>
          <xm:sqref>H10</xm:sqref>
        </x14:conditionalFormatting>
        <x14:conditionalFormatting xmlns:xm="http://schemas.microsoft.com/office/excel/2006/main">
          <x14:cfRule type="expression" priority="37" stopIfTrue="1" id="{1F4D517A-00E6-4459-9D0B-5C018D4C6333}">
            <xm:f>(60 * HOUR(I10) + MINUTE(I10)) &gt;(60 * HOUR(INDEX('1.Locations'!G2:G11,C10 + 1)) +MINUTE(INDEX('1.Locations'!G2:G11,C10 + 1)))</xm:f>
            <x14:dxf>
              <fill>
                <patternFill>
                  <bgColor indexed="10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cellIs" priority="38" stopIfTrue="1" operator="lessThan" id="{46726527-B013-4C76-94C7-9F82823F47E4}">
            <xm:f>INDEX('1.Locations'!F2:F11,C11 + 1)</xm:f>
            <x14:dxf>
              <fill>
                <patternFill>
                  <bgColor indexed="52"/>
                </patternFill>
              </fill>
            </x14:dxf>
          </x14:cfRule>
          <x14:cfRule type="expression" priority="39" stopIfTrue="1" id="{76771C89-7B35-42AD-85D7-51AD495C6DF4}">
            <xm:f>(60 * HOUR(H11) + MINUTE(H11)) &gt;(60 * HOUR(INDEX('1.Locations'!G2:G11,C11 + 1)) +MINUTE(INDEX('1.Locations'!G2:G11,C11 + 1)))</xm:f>
            <x14:dxf>
              <fill>
                <patternFill>
                  <bgColor indexed="10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40" stopIfTrue="1" id="{5DEF6DCA-5711-4DCD-8B34-75C0AA2119A0}">
            <xm:f>(60 * HOUR(I11) + MINUTE(I11)) &gt;(60 * HOUR(INDEX('1.Locations'!G2:G11,C11 + 1)) +MINUTE(INDEX('1.Locations'!G2:G11,C11 + 1)))</xm:f>
            <x14:dxf>
              <fill>
                <patternFill>
                  <bgColor indexed="10"/>
                </patternFill>
              </fill>
            </x14:dxf>
          </x14:cfRule>
          <xm:sqref>I11</xm:sqref>
        </x14:conditionalFormatting>
        <x14:conditionalFormatting xmlns:xm="http://schemas.microsoft.com/office/excel/2006/main">
          <x14:cfRule type="cellIs" priority="41" stopIfTrue="1" operator="lessThan" id="{96153414-4CEC-4A37-9DB8-BE5A214FD290}">
            <xm:f>INDEX('1.Locations'!F2:F11,C12 + 1)</xm:f>
            <x14:dxf>
              <fill>
                <patternFill>
                  <bgColor indexed="52"/>
                </patternFill>
              </fill>
            </x14:dxf>
          </x14:cfRule>
          <x14:cfRule type="expression" priority="42" stopIfTrue="1" id="{EFEB30DB-794E-4F4B-B12D-010DCDE8AB75}">
            <xm:f>(60 * HOUR(H12) + MINUTE(H12)) &gt;(60 * HOUR(INDEX('1.Locations'!G2:G11,C12 + 1)) +MINUTE(INDEX('1.Locations'!G2:G11,C12 + 1)))</xm:f>
            <x14:dxf>
              <fill>
                <patternFill>
                  <bgColor indexed="10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expression" priority="43" stopIfTrue="1" id="{209EC604-45F6-426F-BFEE-6E15E551E9D6}">
            <xm:f>(60 * HOUR(I12) + MINUTE(I12)) &gt;(60 * HOUR(INDEX('1.Locations'!G2:G11,C12 + 1)) +MINUTE(INDEX('1.Locations'!G2:G11,C12 + 1)))</xm:f>
            <x14:dxf>
              <fill>
                <patternFill>
                  <bgColor indexed="10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cellIs" priority="44" stopIfTrue="1" operator="lessThan" id="{2B1F88F4-17EA-4E0D-8FC1-427237F3C3D3}">
            <xm:f>INDEX('1.Locations'!F2:F11,C13 + 1)</xm:f>
            <x14:dxf>
              <fill>
                <patternFill>
                  <bgColor indexed="52"/>
                </patternFill>
              </fill>
            </x14:dxf>
          </x14:cfRule>
          <x14:cfRule type="expression" priority="45" stopIfTrue="1" id="{C32D6A46-4181-4152-A7AE-32E83AC67C0C}">
            <xm:f>(60 * HOUR(H13) + MINUTE(H13)) &gt;(60 * HOUR(INDEX('1.Locations'!G2:G11,C13 + 1)) +MINUTE(INDEX('1.Locations'!G2:G11,C13 + 1)))</xm:f>
            <x14:dxf>
              <fill>
                <patternFill>
                  <bgColor indexed="10"/>
                </patternFill>
              </fill>
            </x14:dxf>
          </x14:cfRule>
          <xm:sqref>H13</xm:sqref>
        </x14:conditionalFormatting>
        <x14:conditionalFormatting xmlns:xm="http://schemas.microsoft.com/office/excel/2006/main">
          <x14:cfRule type="expression" priority="46" stopIfTrue="1" id="{84B0B3AF-C4AA-4177-A923-967944E80234}">
            <xm:f>(60 * HOUR(I13) + MINUTE(I13)) &gt;(60 * HOUR(INDEX('1.Locations'!G2:G11,C13 + 1)) +MINUTE(INDEX('1.Locations'!G2:G11,C13 + 1)))</xm:f>
            <x14:dxf>
              <fill>
                <patternFill>
                  <bgColor indexed="10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cellIs" priority="47" stopIfTrue="1" operator="lessThan" id="{4CDF7872-980A-4726-82E1-6646D5463064}">
            <xm:f>INDEX('1.Locations'!F2:F11,C14 + 1)</xm:f>
            <x14:dxf>
              <fill>
                <patternFill>
                  <bgColor indexed="52"/>
                </patternFill>
              </fill>
            </x14:dxf>
          </x14:cfRule>
          <x14:cfRule type="expression" priority="48" stopIfTrue="1" id="{CFAF5BEF-8EDC-412E-9DEA-1D0D01665805}">
            <xm:f>(60 * HOUR(H14) + MINUTE(H14)) &gt;(60 * HOUR(INDEX('1.Locations'!G2:G11,C14 + 1)) +MINUTE(INDEX('1.Locations'!G2:G11,C14 + 1)))</xm:f>
            <x14:dxf>
              <fill>
                <patternFill>
                  <bgColor indexed="10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49" stopIfTrue="1" id="{A7284EBC-9FC5-40DB-8D55-AF857F9E2412}">
            <xm:f>(60 * HOUR(I14) + MINUTE(I14)) &gt;(60 * HOUR(INDEX('1.Locations'!G2:G11,C14 + 1)) +MINUTE(INDEX('1.Locations'!G2:G11,C14 + 1)))</xm:f>
            <x14:dxf>
              <fill>
                <patternFill>
                  <bgColor indexed="10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cellIs" priority="50" stopIfTrue="1" operator="lessThan" id="{08E6180F-F9F2-40D4-960E-794F34B978C2}">
            <xm:f>INDEX('1.Locations'!F2:F11,C15 + 1)</xm:f>
            <x14:dxf>
              <fill>
                <patternFill>
                  <bgColor indexed="52"/>
                </patternFill>
              </fill>
            </x14:dxf>
          </x14:cfRule>
          <xm:sqref>H15</xm:sqref>
        </x14:conditionalFormatting>
        <x14:conditionalFormatting xmlns:xm="http://schemas.microsoft.com/office/excel/2006/main">
          <x14:cfRule type="expression" priority="51" stopIfTrue="1" id="{4FA6C15A-C1A3-4B1A-9207-ED03D565870A}">
            <xm:f>(60 * HOUR(H15) + MINUTE(H15)) &gt;(60 * HOUR(INDEX('1.Locations'!G2:G11,C15 + 1)) +MINUTE(INDEX('1.Locations'!G2:G11,C15 + 1)))</xm:f>
            <x14:dxf>
              <fill>
                <patternFill>
                  <bgColor indexed="10"/>
                </patternFill>
              </fill>
            </x14:dxf>
          </x14:cfRule>
          <xm:sqref>H15</xm:sqref>
        </x14:conditionalFormatting>
        <x14:conditionalFormatting xmlns:xm="http://schemas.microsoft.com/office/excel/2006/main">
          <x14:cfRule type="expression" priority="52" stopIfTrue="1" id="{2FA3CFFB-85EF-4977-9DD6-97B7B879E5F5}">
            <xm:f>(60 * HOUR(I15) + MINUTE(I15)) &gt;(60 * HOUR(INDEX('1.Locations'!G2:G11,C15 + 1)) +MINUTE(INDEX('1.Locations'!G2:G11,C15 + 1)))</xm:f>
            <x14:dxf>
              <fill>
                <patternFill>
                  <bgColor indexed="10"/>
                </patternFill>
              </fill>
            </x14:dxf>
          </x14:cfRule>
          <xm:sqref>I15</xm:sqref>
        </x14:conditionalFormatting>
        <x14:conditionalFormatting xmlns:xm="http://schemas.microsoft.com/office/excel/2006/main">
          <x14:cfRule type="cellIs" priority="53" stopIfTrue="1" operator="greaterThan" id="{35B65C1D-58A7-4DD5-908E-6E4FD6F9421D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F6:F15</xm:sqref>
        </x14:conditionalFormatting>
        <x14:conditionalFormatting xmlns:xm="http://schemas.microsoft.com/office/excel/2006/main">
          <x14:cfRule type="cellIs" priority="54" stopIfTrue="1" operator="greaterThan" id="{C941058C-6977-4563-B7A2-6154D1836DB3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P6:P15</xm:sqref>
        </x14:conditionalFormatting>
        <x14:conditionalFormatting xmlns:xm="http://schemas.microsoft.com/office/excel/2006/main">
          <x14:cfRule type="cellIs" priority="56" stopIfTrue="1" operator="greaterThan" id="{038A4CCB-C91C-4715-961B-85702A51D106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G6:G15</xm:sqref>
        </x14:conditionalFormatting>
        <x14:conditionalFormatting xmlns:xm="http://schemas.microsoft.com/office/excel/2006/main">
          <x14:cfRule type="cellIs" priority="57" stopIfTrue="1" operator="greaterThan" id="{E3A8A911-2A1E-4FC0-A5A7-E6781DE0FC8A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J6:J15</xm:sqref>
        </x14:conditionalFormatting>
        <x14:conditionalFormatting xmlns:xm="http://schemas.microsoft.com/office/excel/2006/main">
          <x14:cfRule type="expression" priority="59" stopIfTrue="1" id="{99D75E6C-9411-411A-A6AA-2540B4932317}">
            <xm:f>(60 * HOUR(Y5) + MINUTE(Y5)) &gt;(60 * HOUR(INDEX('1.Locations'!G2:G11,T5 + 1)) +MINUTE(INDEX('1.Locations'!G2:G11,T5 + 1)))</xm:f>
            <x14:dxf>
              <fill>
                <patternFill>
                  <bgColor indexed="10"/>
                </patternFill>
              </fill>
            </x14:dxf>
          </x14:cfRule>
          <xm:sqref>Y5</xm:sqref>
        </x14:conditionalFormatting>
        <x14:conditionalFormatting xmlns:xm="http://schemas.microsoft.com/office/excel/2006/main">
          <x14:cfRule type="expression" priority="60" stopIfTrue="1" id="{74A7731E-818D-40D7-B6CC-146F2562DD1D}">
            <xm:f>(60 * HOUR(Z5) + MINUTE(Z5)) &gt;(60 * HOUR(INDEX('1.Locations'!G2:G11,T5 + 1)) +MINUTE(INDEX('1.Locations'!G2:G11,T5 + 1)))</xm:f>
            <x14:dxf>
              <fill>
                <patternFill>
                  <bgColor indexed="10"/>
                </patternFill>
              </fill>
            </x14:dxf>
          </x14:cfRule>
          <xm:sqref>Z5</xm:sqref>
        </x14:conditionalFormatting>
        <x14:conditionalFormatting xmlns:xm="http://schemas.microsoft.com/office/excel/2006/main">
          <x14:cfRule type="cellIs" priority="61" stopIfTrue="1" operator="lessThan" id="{370E3129-C262-44D3-B986-669962C5FA24}">
            <xm:f>INDEX('1.Locations'!F2:F11,T6 + 1)</xm:f>
            <x14:dxf>
              <fill>
                <patternFill>
                  <bgColor indexed="52"/>
                </patternFill>
              </fill>
            </x14:dxf>
          </x14:cfRule>
          <xm:sqref>Y6</xm:sqref>
        </x14:conditionalFormatting>
        <x14:conditionalFormatting xmlns:xm="http://schemas.microsoft.com/office/excel/2006/main">
          <x14:cfRule type="expression" priority="62" stopIfTrue="1" id="{8C63D100-0A58-4330-BB76-B48D83F0350A}">
            <xm:f>(60 * HOUR(Y6) + MINUTE(Y6)) &gt;(60 * HOUR(INDEX('1.Locations'!G2:G11,T6 + 1)) +MINUTE(INDEX('1.Locations'!G2:G11,T6 + 1)))</xm:f>
            <x14:dxf>
              <fill>
                <patternFill>
                  <bgColor indexed="10"/>
                </patternFill>
              </fill>
            </x14:dxf>
          </x14:cfRule>
          <xm:sqref>Y6</xm:sqref>
        </x14:conditionalFormatting>
        <x14:conditionalFormatting xmlns:xm="http://schemas.microsoft.com/office/excel/2006/main">
          <x14:cfRule type="expression" priority="63" stopIfTrue="1" id="{5FEB2527-2416-4792-90DB-8C405383DD20}">
            <xm:f>(60 * HOUR(Z6) + MINUTE(Z6)) &gt;(60 * HOUR(INDEX('1.Locations'!G2:G11,T6 + 1)) +MINUTE(INDEX('1.Locations'!G2:G11,T6 + 1)))</xm:f>
            <x14:dxf>
              <fill>
                <patternFill>
                  <bgColor indexed="10"/>
                </patternFill>
              </fill>
            </x14:dxf>
          </x14:cfRule>
          <xm:sqref>Z6</xm:sqref>
        </x14:conditionalFormatting>
        <x14:conditionalFormatting xmlns:xm="http://schemas.microsoft.com/office/excel/2006/main">
          <x14:cfRule type="cellIs" priority="64" stopIfTrue="1" operator="lessThan" id="{1F7AA327-307C-4202-ABB2-0AFF8E555231}">
            <xm:f>INDEX('1.Locations'!F2:F11,T7 + 1)</xm:f>
            <x14:dxf>
              <fill>
                <patternFill>
                  <bgColor indexed="52"/>
                </patternFill>
              </fill>
            </x14:dxf>
          </x14:cfRule>
          <xm:sqref>Y7</xm:sqref>
        </x14:conditionalFormatting>
        <x14:conditionalFormatting xmlns:xm="http://schemas.microsoft.com/office/excel/2006/main">
          <x14:cfRule type="expression" priority="65" stopIfTrue="1" id="{1EDFA9D5-0766-47EC-AD80-C5450F924C30}">
            <xm:f>(60 * HOUR(Y7) + MINUTE(Y7)) &gt;(60 * HOUR(INDEX('1.Locations'!G2:G11,T7 + 1)) +MINUTE(INDEX('1.Locations'!G2:G11,T7 + 1)))</xm:f>
            <x14:dxf>
              <fill>
                <patternFill>
                  <bgColor indexed="10"/>
                </patternFill>
              </fill>
            </x14:dxf>
          </x14:cfRule>
          <xm:sqref>Y7</xm:sqref>
        </x14:conditionalFormatting>
        <x14:conditionalFormatting xmlns:xm="http://schemas.microsoft.com/office/excel/2006/main">
          <x14:cfRule type="expression" priority="66" stopIfTrue="1" id="{755335C6-88BC-4C4B-9609-29C6374DD2BE}">
            <xm:f>(60 * HOUR(Z7) + MINUTE(Z7)) &gt;(60 * HOUR(INDEX('1.Locations'!G2:G11,T7 + 1)) +MINUTE(INDEX('1.Locations'!G2:G11,T7 + 1)))</xm:f>
            <x14:dxf>
              <fill>
                <patternFill>
                  <bgColor indexed="10"/>
                </patternFill>
              </fill>
            </x14:dxf>
          </x14:cfRule>
          <xm:sqref>Z7</xm:sqref>
        </x14:conditionalFormatting>
        <x14:conditionalFormatting xmlns:xm="http://schemas.microsoft.com/office/excel/2006/main">
          <x14:cfRule type="cellIs" priority="67" stopIfTrue="1" operator="lessThan" id="{922CF94D-E4B8-4A1A-AD80-6E58AEDCDFE2}">
            <xm:f>INDEX('1.Locations'!F2:F11,T8 + 1)</xm:f>
            <x14:dxf>
              <fill>
                <patternFill>
                  <bgColor indexed="52"/>
                </patternFill>
              </fill>
            </x14:dxf>
          </x14:cfRule>
          <xm:sqref>Y8</xm:sqref>
        </x14:conditionalFormatting>
        <x14:conditionalFormatting xmlns:xm="http://schemas.microsoft.com/office/excel/2006/main">
          <x14:cfRule type="expression" priority="68" stopIfTrue="1" id="{3E735D05-1B0B-4082-84D0-24D64FE152CC}">
            <xm:f>(60 * HOUR(Y8) + MINUTE(Y8)) &gt;(60 * HOUR(INDEX('1.Locations'!G2:G11,T8 + 1)) +MINUTE(INDEX('1.Locations'!G2:G11,T8 + 1)))</xm:f>
            <x14:dxf>
              <fill>
                <patternFill>
                  <bgColor indexed="10"/>
                </patternFill>
              </fill>
            </x14:dxf>
          </x14:cfRule>
          <xm:sqref>Y8</xm:sqref>
        </x14:conditionalFormatting>
        <x14:conditionalFormatting xmlns:xm="http://schemas.microsoft.com/office/excel/2006/main">
          <x14:cfRule type="expression" priority="69" stopIfTrue="1" id="{7A6EC73E-F4B9-433A-9D24-FAE736531E5A}">
            <xm:f>(60 * HOUR(Z8) + MINUTE(Z8)) &gt;(60 * HOUR(INDEX('1.Locations'!G2:G11,T8 + 1)) +MINUTE(INDEX('1.Locations'!G2:G11,T8 + 1)))</xm:f>
            <x14:dxf>
              <fill>
                <patternFill>
                  <bgColor indexed="10"/>
                </patternFill>
              </fill>
            </x14:dxf>
          </x14:cfRule>
          <xm:sqref>Z8</xm:sqref>
        </x14:conditionalFormatting>
        <x14:conditionalFormatting xmlns:xm="http://schemas.microsoft.com/office/excel/2006/main">
          <x14:cfRule type="cellIs" priority="70" stopIfTrue="1" operator="lessThan" id="{15B0ECA0-C0BE-4837-9BE1-C944DD1B5CB5}">
            <xm:f>INDEX('1.Locations'!F2:F11,T9 + 1)</xm:f>
            <x14:dxf>
              <fill>
                <patternFill>
                  <bgColor indexed="52"/>
                </patternFill>
              </fill>
            </x14:dxf>
          </x14:cfRule>
          <xm:sqref>Y9</xm:sqref>
        </x14:conditionalFormatting>
        <x14:conditionalFormatting xmlns:xm="http://schemas.microsoft.com/office/excel/2006/main">
          <x14:cfRule type="expression" priority="71" stopIfTrue="1" id="{D88FFA74-416E-4DDE-9FC7-62F43AB44ED0}">
            <xm:f>(60 * HOUR(Y9) + MINUTE(Y9)) &gt;(60 * HOUR(INDEX('1.Locations'!G2:G11,T9 + 1)) +MINUTE(INDEX('1.Locations'!G2:G11,T9 + 1)))</xm:f>
            <x14:dxf>
              <fill>
                <patternFill>
                  <bgColor indexed="10"/>
                </patternFill>
              </fill>
            </x14:dxf>
          </x14:cfRule>
          <xm:sqref>Y9</xm:sqref>
        </x14:conditionalFormatting>
        <x14:conditionalFormatting xmlns:xm="http://schemas.microsoft.com/office/excel/2006/main">
          <x14:cfRule type="expression" priority="72" stopIfTrue="1" id="{CF2A3736-440C-4AE3-AA64-322A13F641AB}">
            <xm:f>(60 * HOUR(Z9) + MINUTE(Z9)) &gt;(60 * HOUR(INDEX('1.Locations'!G2:G11,T9 + 1)) +MINUTE(INDEX('1.Locations'!G2:G11,T9 + 1)))</xm:f>
            <x14:dxf>
              <fill>
                <patternFill>
                  <bgColor indexed="10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ellIs" priority="73" stopIfTrue="1" operator="lessThan" id="{F17142E0-3576-4969-938D-3493599A74FE}">
            <xm:f>INDEX('1.Locations'!F2:F11,T10 + 1)</xm:f>
            <x14:dxf>
              <fill>
                <patternFill>
                  <bgColor indexed="52"/>
                </patternFill>
              </fill>
            </x14:dxf>
          </x14:cfRule>
          <xm:sqref>Y10</xm:sqref>
        </x14:conditionalFormatting>
        <x14:conditionalFormatting xmlns:xm="http://schemas.microsoft.com/office/excel/2006/main">
          <x14:cfRule type="expression" priority="74" stopIfTrue="1" id="{40457D3F-DBA8-4474-B3AB-743902B69861}">
            <xm:f>(60 * HOUR(Y10) + MINUTE(Y10)) &gt;(60 * HOUR(INDEX('1.Locations'!G2:G11,T10 + 1)) +MINUTE(INDEX('1.Locations'!G2:G11,T10 + 1)))</xm:f>
            <x14:dxf>
              <fill>
                <patternFill>
                  <bgColor indexed="10"/>
                </patternFill>
              </fill>
            </x14:dxf>
          </x14:cfRule>
          <xm:sqref>Y10</xm:sqref>
        </x14:conditionalFormatting>
        <x14:conditionalFormatting xmlns:xm="http://schemas.microsoft.com/office/excel/2006/main">
          <x14:cfRule type="expression" priority="75" stopIfTrue="1" id="{09DCF818-BBFE-4623-9C19-6C50D783556E}">
            <xm:f>(60 * HOUR(Z10) + MINUTE(Z10)) &gt;(60 * HOUR(INDEX('1.Locations'!G2:G11,T10 + 1)) +MINUTE(INDEX('1.Locations'!G2:G11,T10 + 1)))</xm:f>
            <x14:dxf>
              <fill>
                <patternFill>
                  <bgColor indexed="10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ellIs" priority="76" stopIfTrue="1" operator="lessThan" id="{0578B545-022D-46E8-ABD4-C824A8C0750E}">
            <xm:f>INDEX('1.Locations'!F2:F11,T11 + 1)</xm:f>
            <x14:dxf>
              <fill>
                <patternFill>
                  <bgColor indexed="52"/>
                </patternFill>
              </fill>
            </x14:dxf>
          </x14:cfRule>
          <xm:sqref>Y11</xm:sqref>
        </x14:conditionalFormatting>
        <x14:conditionalFormatting xmlns:xm="http://schemas.microsoft.com/office/excel/2006/main">
          <x14:cfRule type="expression" priority="77" stopIfTrue="1" id="{479DCF13-511D-4D6F-959F-15985B1C0C5D}">
            <xm:f>(60 * HOUR(Y11) + MINUTE(Y11)) &gt;(60 * HOUR(INDEX('1.Locations'!G2:G11,T11 + 1)) +MINUTE(INDEX('1.Locations'!G2:G11,T11 + 1)))</xm:f>
            <x14:dxf>
              <fill>
                <patternFill>
                  <bgColor indexed="10"/>
                </patternFill>
              </fill>
            </x14:dxf>
          </x14:cfRule>
          <xm:sqref>Y11</xm:sqref>
        </x14:conditionalFormatting>
        <x14:conditionalFormatting xmlns:xm="http://schemas.microsoft.com/office/excel/2006/main">
          <x14:cfRule type="expression" priority="78" stopIfTrue="1" id="{A39B35E2-7BAD-42B7-B817-B2A08B17D4F4}">
            <xm:f>(60 * HOUR(Z11) + MINUTE(Z11)) &gt;(60 * HOUR(INDEX('1.Locations'!G2:G11,T11 + 1)) +MINUTE(INDEX('1.Locations'!G2:G11,T11 + 1)))</xm:f>
            <x14:dxf>
              <fill>
                <patternFill>
                  <bgColor indexed="10"/>
                </patternFill>
              </fill>
            </x14:dxf>
          </x14:cfRule>
          <xm:sqref>Z11</xm:sqref>
        </x14:conditionalFormatting>
        <x14:conditionalFormatting xmlns:xm="http://schemas.microsoft.com/office/excel/2006/main">
          <x14:cfRule type="cellIs" priority="79" stopIfTrue="1" operator="lessThan" id="{3B2B0864-F877-4628-BC6A-87ABC80847E0}">
            <xm:f>INDEX('1.Locations'!F2:F11,T12 + 1)</xm:f>
            <x14:dxf>
              <fill>
                <patternFill>
                  <bgColor indexed="52"/>
                </patternFill>
              </fill>
            </x14:dxf>
          </x14:cfRule>
          <xm:sqref>Y12</xm:sqref>
        </x14:conditionalFormatting>
        <x14:conditionalFormatting xmlns:xm="http://schemas.microsoft.com/office/excel/2006/main">
          <x14:cfRule type="expression" priority="80" stopIfTrue="1" id="{829949C1-7568-4E54-977E-E2251DDF14B7}">
            <xm:f>(60 * HOUR(Y12) + MINUTE(Y12)) &gt;(60 * HOUR(INDEX('1.Locations'!G2:G11,T12 + 1)) +MINUTE(INDEX('1.Locations'!G2:G11,T12 + 1)))</xm:f>
            <x14:dxf>
              <fill>
                <patternFill>
                  <bgColor indexed="10"/>
                </patternFill>
              </fill>
            </x14:dxf>
          </x14:cfRule>
          <xm:sqref>Y12</xm:sqref>
        </x14:conditionalFormatting>
        <x14:conditionalFormatting xmlns:xm="http://schemas.microsoft.com/office/excel/2006/main">
          <x14:cfRule type="expression" priority="81" stopIfTrue="1" id="{8BC64477-6C57-473D-B9F5-452E03B9DA77}">
            <xm:f>(60 * HOUR(Z12) + MINUTE(Z12)) &gt;(60 * HOUR(INDEX('1.Locations'!G2:G11,T12 + 1)) +MINUTE(INDEX('1.Locations'!G2:G11,T12 + 1)))</xm:f>
            <x14:dxf>
              <fill>
                <patternFill>
                  <bgColor indexed="10"/>
                </patternFill>
              </fill>
            </x14:dxf>
          </x14:cfRule>
          <xm:sqref>Z12</xm:sqref>
        </x14:conditionalFormatting>
        <x14:conditionalFormatting xmlns:xm="http://schemas.microsoft.com/office/excel/2006/main">
          <x14:cfRule type="cellIs" priority="82" stopIfTrue="1" operator="lessThan" id="{09D70B41-E2C3-4FB4-8000-A6D0A881E1F7}">
            <xm:f>INDEX('1.Locations'!F2:F11,T13 + 1)</xm:f>
            <x14:dxf>
              <fill>
                <patternFill>
                  <bgColor indexed="52"/>
                </patternFill>
              </fill>
            </x14:dxf>
          </x14:cfRule>
          <xm:sqref>Y13</xm:sqref>
        </x14:conditionalFormatting>
        <x14:conditionalFormatting xmlns:xm="http://schemas.microsoft.com/office/excel/2006/main">
          <x14:cfRule type="expression" priority="83" stopIfTrue="1" id="{36F8EBEC-A391-4857-B5ED-6E5621C59FE9}">
            <xm:f>(60 * HOUR(Y13) + MINUTE(Y13)) &gt;(60 * HOUR(INDEX('1.Locations'!G2:G11,T13 + 1)) +MINUTE(INDEX('1.Locations'!G2:G11,T13 + 1)))</xm:f>
            <x14:dxf>
              <fill>
                <patternFill>
                  <bgColor indexed="10"/>
                </patternFill>
              </fill>
            </x14:dxf>
          </x14:cfRule>
          <xm:sqref>Y13</xm:sqref>
        </x14:conditionalFormatting>
        <x14:conditionalFormatting xmlns:xm="http://schemas.microsoft.com/office/excel/2006/main">
          <x14:cfRule type="expression" priority="84" stopIfTrue="1" id="{3338C7C4-3E01-4DAA-8315-E03389939727}">
            <xm:f>(60 * HOUR(Z13) + MINUTE(Z13)) &gt;(60 * HOUR(INDEX('1.Locations'!G2:G11,T13 + 1)) +MINUTE(INDEX('1.Locations'!G2:G11,T13 + 1)))</xm:f>
            <x14:dxf>
              <fill>
                <patternFill>
                  <bgColor indexed="10"/>
                </patternFill>
              </fill>
            </x14:dxf>
          </x14:cfRule>
          <xm:sqref>Z13</xm:sqref>
        </x14:conditionalFormatting>
        <x14:conditionalFormatting xmlns:xm="http://schemas.microsoft.com/office/excel/2006/main">
          <x14:cfRule type="cellIs" priority="85" stopIfTrue="1" operator="lessThan" id="{4C8E667E-8C12-4211-AA43-172BB0ECCD2F}">
            <xm:f>INDEX('1.Locations'!F2:F11,T14 + 1)</xm:f>
            <x14:dxf>
              <fill>
                <patternFill>
                  <bgColor indexed="52"/>
                </patternFill>
              </fill>
            </x14:dxf>
          </x14:cfRule>
          <xm:sqref>Y14</xm:sqref>
        </x14:conditionalFormatting>
        <x14:conditionalFormatting xmlns:xm="http://schemas.microsoft.com/office/excel/2006/main">
          <x14:cfRule type="expression" priority="86" stopIfTrue="1" id="{D35D81F6-E491-4291-9E2E-2917AB46872E}">
            <xm:f>(60 * HOUR(Y14) + MINUTE(Y14)) &gt;(60 * HOUR(INDEX('1.Locations'!G2:G11,T14 + 1)) +MINUTE(INDEX('1.Locations'!G2:G11,T14 + 1)))</xm:f>
            <x14:dxf>
              <fill>
                <patternFill>
                  <bgColor indexed="10"/>
                </patternFill>
              </fill>
            </x14:dxf>
          </x14:cfRule>
          <xm:sqref>Y14</xm:sqref>
        </x14:conditionalFormatting>
        <x14:conditionalFormatting xmlns:xm="http://schemas.microsoft.com/office/excel/2006/main">
          <x14:cfRule type="expression" priority="87" stopIfTrue="1" id="{636B6E26-6A1A-47D6-A532-A054CC5E56FC}">
            <xm:f>(60 * HOUR(Z14) + MINUTE(Z14)) &gt;(60 * HOUR(INDEX('1.Locations'!G2:G11,T14 + 1)) +MINUTE(INDEX('1.Locations'!G2:G11,T14 + 1)))</xm:f>
            <x14:dxf>
              <fill>
                <patternFill>
                  <bgColor indexed="10"/>
                </patternFill>
              </fill>
            </x14:dxf>
          </x14:cfRule>
          <xm:sqref>Z14</xm:sqref>
        </x14:conditionalFormatting>
        <x14:conditionalFormatting xmlns:xm="http://schemas.microsoft.com/office/excel/2006/main">
          <x14:cfRule type="cellIs" priority="88" stopIfTrue="1" operator="lessThan" id="{940C9102-5E0F-4440-9B64-0019F55D6A6A}">
            <xm:f>INDEX('1.Locations'!F2:F11,T15 + 1)</xm:f>
            <x14:dxf>
              <fill>
                <patternFill>
                  <bgColor indexed="52"/>
                </patternFill>
              </fill>
            </x14:dxf>
          </x14:cfRule>
          <xm:sqref>Y15</xm:sqref>
        </x14:conditionalFormatting>
        <x14:conditionalFormatting xmlns:xm="http://schemas.microsoft.com/office/excel/2006/main">
          <x14:cfRule type="expression" priority="89" stopIfTrue="1" id="{CAC37417-B2A2-481B-8EA5-7C7371D8624A}">
            <xm:f>(60 * HOUR(Y15) + MINUTE(Y15)) &gt;(60 * HOUR(INDEX('1.Locations'!G2:G11,T15 + 1)) +MINUTE(INDEX('1.Locations'!G2:G11,T15 + 1)))</xm:f>
            <x14:dxf>
              <fill>
                <patternFill>
                  <bgColor indexed="10"/>
                </patternFill>
              </fill>
            </x14:dxf>
          </x14:cfRule>
          <xm:sqref>Y15</xm:sqref>
        </x14:conditionalFormatting>
        <x14:conditionalFormatting xmlns:xm="http://schemas.microsoft.com/office/excel/2006/main">
          <x14:cfRule type="expression" priority="90" stopIfTrue="1" id="{A437947D-8934-470E-8CFA-08A9A7C20392}">
            <xm:f>(60 * HOUR(Z15) + MINUTE(Z15)) &gt;(60 * HOUR(INDEX('1.Locations'!G2:G11,T15 + 1)) +MINUTE(INDEX('1.Locations'!G2:G11,T15 + 1)))</xm:f>
            <x14:dxf>
              <fill>
                <patternFill>
                  <bgColor indexed="10"/>
                </patternFill>
              </fill>
            </x14:dxf>
          </x14:cfRule>
          <xm:sqref>Z15</xm:sqref>
        </x14:conditionalFormatting>
        <x14:conditionalFormatting xmlns:xm="http://schemas.microsoft.com/office/excel/2006/main">
          <x14:cfRule type="cellIs" priority="91" stopIfTrue="1" operator="greaterThan" id="{44D47A53-6587-4B97-9B31-7C089FEED2BD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W6:W15</xm:sqref>
        </x14:conditionalFormatting>
        <x14:conditionalFormatting xmlns:xm="http://schemas.microsoft.com/office/excel/2006/main">
          <x14:cfRule type="cellIs" priority="92" stopIfTrue="1" operator="greaterThan" id="{CEFBA9B7-9C6A-499F-9531-EF1D21F3FE02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AG6:AG15</xm:sqref>
        </x14:conditionalFormatting>
        <x14:conditionalFormatting xmlns:xm="http://schemas.microsoft.com/office/excel/2006/main">
          <x14:cfRule type="cellIs" priority="94" stopIfTrue="1" operator="greaterThan" id="{85D725B1-96A5-4632-A6C6-C43B17CBC208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X6:X15</xm:sqref>
        </x14:conditionalFormatting>
        <x14:conditionalFormatting xmlns:xm="http://schemas.microsoft.com/office/excel/2006/main">
          <x14:cfRule type="cellIs" priority="95" stopIfTrue="1" operator="greaterThan" id="{A7651F5B-D6F9-4870-AED8-10E40B4E11B1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AA6:AA15</xm:sqref>
        </x14:conditionalFormatting>
        <x14:conditionalFormatting xmlns:xm="http://schemas.microsoft.com/office/excel/2006/main">
          <x14:cfRule type="expression" priority="97" stopIfTrue="1" id="{B659074D-66C3-4215-8693-67AC24BBD982}">
            <xm:f>(60 * HOUR(AP5) + MINUTE(AP5)) &gt;(60 * HOUR(INDEX('1.Locations'!G2:G11,AK5 + 1)) +MINUTE(INDEX('1.Locations'!G2:G11,AK5 + 1)))</xm:f>
            <x14:dxf>
              <fill>
                <patternFill>
                  <bgColor indexed="10"/>
                </patternFill>
              </fill>
            </x14:dxf>
          </x14:cfRule>
          <xm:sqref>AP5</xm:sqref>
        </x14:conditionalFormatting>
        <x14:conditionalFormatting xmlns:xm="http://schemas.microsoft.com/office/excel/2006/main">
          <x14:cfRule type="expression" priority="98" stopIfTrue="1" id="{0BDDC4BA-CF94-4E9A-8BD6-3C32842EE730}">
            <xm:f>(60 * HOUR(AQ5) + MINUTE(AQ5)) &gt;(60 * HOUR(INDEX('1.Locations'!G2:G11,AK5 + 1)) +MINUTE(INDEX('1.Locations'!G2:G11,AK5 + 1)))</xm:f>
            <x14:dxf>
              <fill>
                <patternFill>
                  <bgColor indexed="10"/>
                </patternFill>
              </fill>
            </x14:dxf>
          </x14:cfRule>
          <xm:sqref>AQ5</xm:sqref>
        </x14:conditionalFormatting>
        <x14:conditionalFormatting xmlns:xm="http://schemas.microsoft.com/office/excel/2006/main">
          <x14:cfRule type="cellIs" priority="99" stopIfTrue="1" operator="lessThan" id="{9A8DBE33-77C3-430E-AF2F-310AE3276AA8}">
            <xm:f>INDEX('1.Locations'!F2:F11,AK6 + 1)</xm:f>
            <x14:dxf>
              <fill>
                <patternFill>
                  <bgColor indexed="52"/>
                </patternFill>
              </fill>
            </x14:dxf>
          </x14:cfRule>
          <xm:sqref>AP6</xm:sqref>
        </x14:conditionalFormatting>
        <x14:conditionalFormatting xmlns:xm="http://schemas.microsoft.com/office/excel/2006/main">
          <x14:cfRule type="expression" priority="100" stopIfTrue="1" id="{BCAB81D0-52AF-4BEC-B4F3-0CA25BE11D49}">
            <xm:f>(60 * HOUR(AP6) + MINUTE(AP6)) &gt;(60 * HOUR(INDEX('1.Locations'!G2:G11,AK6 + 1)) +MINUTE(INDEX('1.Locations'!G2:G11,AK6 + 1)))</xm:f>
            <x14:dxf>
              <fill>
                <patternFill>
                  <bgColor indexed="10"/>
                </patternFill>
              </fill>
            </x14:dxf>
          </x14:cfRule>
          <xm:sqref>AP6</xm:sqref>
        </x14:conditionalFormatting>
        <x14:conditionalFormatting xmlns:xm="http://schemas.microsoft.com/office/excel/2006/main">
          <x14:cfRule type="expression" priority="101" stopIfTrue="1" id="{6F6FA4BA-EB42-4419-9DA6-AAF25FF4DF2B}">
            <xm:f>(60 * HOUR(AQ6) + MINUTE(AQ6)) &gt;(60 * HOUR(INDEX('1.Locations'!G2:G11,AK6 + 1)) +MINUTE(INDEX('1.Locations'!G2:G11,AK6 + 1)))</xm:f>
            <x14:dxf>
              <fill>
                <patternFill>
                  <bgColor indexed="10"/>
                </patternFill>
              </fill>
            </x14:dxf>
          </x14:cfRule>
          <xm:sqref>AQ6</xm:sqref>
        </x14:conditionalFormatting>
        <x14:conditionalFormatting xmlns:xm="http://schemas.microsoft.com/office/excel/2006/main">
          <x14:cfRule type="cellIs" priority="102" stopIfTrue="1" operator="lessThan" id="{D340C35E-DBA4-4E73-96F4-8DE98F68FF26}">
            <xm:f>INDEX('1.Locations'!F2:F11,AK7 + 1)</xm:f>
            <x14:dxf>
              <fill>
                <patternFill>
                  <bgColor indexed="52"/>
                </patternFill>
              </fill>
            </x14:dxf>
          </x14:cfRule>
          <xm:sqref>AP7</xm:sqref>
        </x14:conditionalFormatting>
        <x14:conditionalFormatting xmlns:xm="http://schemas.microsoft.com/office/excel/2006/main">
          <x14:cfRule type="expression" priority="103" stopIfTrue="1" id="{F89F1274-4F42-413D-8FBB-0B8000882945}">
            <xm:f>(60 * HOUR(AP7) + MINUTE(AP7)) &gt;(60 * HOUR(INDEX('1.Locations'!G2:G11,AK7 + 1)) +MINUTE(INDEX('1.Locations'!G2:G11,AK7 + 1)))</xm:f>
            <x14:dxf>
              <fill>
                <patternFill>
                  <bgColor indexed="10"/>
                </patternFill>
              </fill>
            </x14:dxf>
          </x14:cfRule>
          <xm:sqref>AP7</xm:sqref>
        </x14:conditionalFormatting>
        <x14:conditionalFormatting xmlns:xm="http://schemas.microsoft.com/office/excel/2006/main">
          <x14:cfRule type="expression" priority="104" stopIfTrue="1" id="{96A4D52A-BBCA-45EF-9725-7AFE9B091AC8}">
            <xm:f>(60 * HOUR(AQ7) + MINUTE(AQ7)) &gt;(60 * HOUR(INDEX('1.Locations'!G2:G11,AK7 + 1)) +MINUTE(INDEX('1.Locations'!G2:G11,AK7 + 1)))</xm:f>
            <x14:dxf>
              <fill>
                <patternFill>
                  <bgColor indexed="10"/>
                </patternFill>
              </fill>
            </x14:dxf>
          </x14:cfRule>
          <xm:sqref>AQ7</xm:sqref>
        </x14:conditionalFormatting>
        <x14:conditionalFormatting xmlns:xm="http://schemas.microsoft.com/office/excel/2006/main">
          <x14:cfRule type="cellIs" priority="105" stopIfTrue="1" operator="lessThan" id="{2C3FD0ED-B43B-4768-A927-73C1AB1180A2}">
            <xm:f>INDEX('1.Locations'!F2:F11,AK8 + 1)</xm:f>
            <x14:dxf>
              <fill>
                <patternFill>
                  <bgColor indexed="52"/>
                </patternFill>
              </fill>
            </x14:dxf>
          </x14:cfRule>
          <xm:sqref>AP8</xm:sqref>
        </x14:conditionalFormatting>
        <x14:conditionalFormatting xmlns:xm="http://schemas.microsoft.com/office/excel/2006/main">
          <x14:cfRule type="expression" priority="106" stopIfTrue="1" id="{96FAF5DF-99E6-45E4-B160-AE5D60EE45A8}">
            <xm:f>(60 * HOUR(AP8) + MINUTE(AP8)) &gt;(60 * HOUR(INDEX('1.Locations'!G2:G11,AK8 + 1)) +MINUTE(INDEX('1.Locations'!G2:G11,AK8 + 1)))</xm:f>
            <x14:dxf>
              <fill>
                <patternFill>
                  <bgColor indexed="10"/>
                </patternFill>
              </fill>
            </x14:dxf>
          </x14:cfRule>
          <xm:sqref>AP8</xm:sqref>
        </x14:conditionalFormatting>
        <x14:conditionalFormatting xmlns:xm="http://schemas.microsoft.com/office/excel/2006/main">
          <x14:cfRule type="expression" priority="107" stopIfTrue="1" id="{BD32798E-6BCF-4E68-8926-423AB98F539E}">
            <xm:f>(60 * HOUR(AQ8) + MINUTE(AQ8)) &gt;(60 * HOUR(INDEX('1.Locations'!G2:G11,AK8 + 1)) +MINUTE(INDEX('1.Locations'!G2:G11,AK8 + 1)))</xm:f>
            <x14:dxf>
              <fill>
                <patternFill>
                  <bgColor indexed="10"/>
                </patternFill>
              </fill>
            </x14:dxf>
          </x14:cfRule>
          <xm:sqref>AQ8</xm:sqref>
        </x14:conditionalFormatting>
        <x14:conditionalFormatting xmlns:xm="http://schemas.microsoft.com/office/excel/2006/main">
          <x14:cfRule type="cellIs" priority="108" stopIfTrue="1" operator="lessThan" id="{296BA8D6-9867-406D-A460-090CBCD97762}">
            <xm:f>INDEX('1.Locations'!F2:F11,AK9 + 1)</xm:f>
            <x14:dxf>
              <fill>
                <patternFill>
                  <bgColor indexed="52"/>
                </patternFill>
              </fill>
            </x14:dxf>
          </x14:cfRule>
          <xm:sqref>AP9</xm:sqref>
        </x14:conditionalFormatting>
        <x14:conditionalFormatting xmlns:xm="http://schemas.microsoft.com/office/excel/2006/main">
          <x14:cfRule type="expression" priority="109" stopIfTrue="1" id="{9554FBF3-B60B-410D-8128-0451914B9B5B}">
            <xm:f>(60 * HOUR(AP9) + MINUTE(AP9)) &gt;(60 * HOUR(INDEX('1.Locations'!G2:G11,AK9 + 1)) +MINUTE(INDEX('1.Locations'!G2:G11,AK9 + 1)))</xm:f>
            <x14:dxf>
              <fill>
                <patternFill>
                  <bgColor indexed="10"/>
                </patternFill>
              </fill>
            </x14:dxf>
          </x14:cfRule>
          <xm:sqref>AP9</xm:sqref>
        </x14:conditionalFormatting>
        <x14:conditionalFormatting xmlns:xm="http://schemas.microsoft.com/office/excel/2006/main">
          <x14:cfRule type="expression" priority="110" stopIfTrue="1" id="{4FEA6D4D-58ED-4154-8185-6EFB53977FE4}">
            <xm:f>(60 * HOUR(AQ9) + MINUTE(AQ9)) &gt;(60 * HOUR(INDEX('1.Locations'!G2:G11,AK9 + 1)) +MINUTE(INDEX('1.Locations'!G2:G11,AK9 + 1)))</xm:f>
            <x14:dxf>
              <fill>
                <patternFill>
                  <bgColor indexed="10"/>
                </patternFill>
              </fill>
            </x14:dxf>
          </x14:cfRule>
          <xm:sqref>AQ9</xm:sqref>
        </x14:conditionalFormatting>
        <x14:conditionalFormatting xmlns:xm="http://schemas.microsoft.com/office/excel/2006/main">
          <x14:cfRule type="cellIs" priority="111" stopIfTrue="1" operator="lessThan" id="{DEBBC1F2-9CB1-4E0F-A14D-9FECDB671300}">
            <xm:f>INDEX('1.Locations'!F2:F11,AK10 + 1)</xm:f>
            <x14:dxf>
              <fill>
                <patternFill>
                  <bgColor indexed="52"/>
                </patternFill>
              </fill>
            </x14:dxf>
          </x14:cfRule>
          <xm:sqref>AP10</xm:sqref>
        </x14:conditionalFormatting>
        <x14:conditionalFormatting xmlns:xm="http://schemas.microsoft.com/office/excel/2006/main">
          <x14:cfRule type="expression" priority="112" stopIfTrue="1" id="{C6551377-9304-4668-A6E1-0734A5B71D79}">
            <xm:f>(60 * HOUR(AP10) + MINUTE(AP10)) &gt;(60 * HOUR(INDEX('1.Locations'!G2:G11,AK10 + 1)) +MINUTE(INDEX('1.Locations'!G2:G11,AK10 + 1)))</xm:f>
            <x14:dxf>
              <fill>
                <patternFill>
                  <bgColor indexed="10"/>
                </patternFill>
              </fill>
            </x14:dxf>
          </x14:cfRule>
          <xm:sqref>AP10</xm:sqref>
        </x14:conditionalFormatting>
        <x14:conditionalFormatting xmlns:xm="http://schemas.microsoft.com/office/excel/2006/main">
          <x14:cfRule type="expression" priority="113" stopIfTrue="1" id="{79A95839-A863-4599-955D-DD3569B7C0D7}">
            <xm:f>(60 * HOUR(AQ10) + MINUTE(AQ10)) &gt;(60 * HOUR(INDEX('1.Locations'!G2:G11,AK10 + 1)) +MINUTE(INDEX('1.Locations'!G2:G11,AK10 + 1)))</xm:f>
            <x14:dxf>
              <fill>
                <patternFill>
                  <bgColor indexed="10"/>
                </patternFill>
              </fill>
            </x14:dxf>
          </x14:cfRule>
          <xm:sqref>AQ10</xm:sqref>
        </x14:conditionalFormatting>
        <x14:conditionalFormatting xmlns:xm="http://schemas.microsoft.com/office/excel/2006/main">
          <x14:cfRule type="cellIs" priority="114" stopIfTrue="1" operator="lessThan" id="{7EC21F8F-697A-4684-8A31-D2AAC24AAA2F}">
            <xm:f>INDEX('1.Locations'!F2:F11,AK11 + 1)</xm:f>
            <x14:dxf>
              <fill>
                <patternFill>
                  <bgColor indexed="52"/>
                </patternFill>
              </fill>
            </x14:dxf>
          </x14:cfRule>
          <xm:sqref>AP11</xm:sqref>
        </x14:conditionalFormatting>
        <x14:conditionalFormatting xmlns:xm="http://schemas.microsoft.com/office/excel/2006/main">
          <x14:cfRule type="expression" priority="115" stopIfTrue="1" id="{6B47CF55-255B-4406-BFFD-F7044A841976}">
            <xm:f>(60 * HOUR(AP11) + MINUTE(AP11)) &gt;(60 * HOUR(INDEX('1.Locations'!G2:G11,AK11 + 1)) +MINUTE(INDEX('1.Locations'!G2:G11,AK11 + 1)))</xm:f>
            <x14:dxf>
              <fill>
                <patternFill>
                  <bgColor indexed="10"/>
                </patternFill>
              </fill>
            </x14:dxf>
          </x14:cfRule>
          <xm:sqref>AP11</xm:sqref>
        </x14:conditionalFormatting>
        <x14:conditionalFormatting xmlns:xm="http://schemas.microsoft.com/office/excel/2006/main">
          <x14:cfRule type="expression" priority="116" stopIfTrue="1" id="{3F90D062-CB4A-4C62-AD1E-DD1BC31AD8DB}">
            <xm:f>(60 * HOUR(AQ11) + MINUTE(AQ11)) &gt;(60 * HOUR(INDEX('1.Locations'!G2:G11,AK11 + 1)) +MINUTE(INDEX('1.Locations'!G2:G11,AK11 + 1)))</xm:f>
            <x14:dxf>
              <fill>
                <patternFill>
                  <bgColor indexed="10"/>
                </patternFill>
              </fill>
            </x14:dxf>
          </x14:cfRule>
          <xm:sqref>AQ11</xm:sqref>
        </x14:conditionalFormatting>
        <x14:conditionalFormatting xmlns:xm="http://schemas.microsoft.com/office/excel/2006/main">
          <x14:cfRule type="cellIs" priority="117" stopIfTrue="1" operator="lessThan" id="{F734B539-8B4B-48D6-B2D3-23F895EA7895}">
            <xm:f>INDEX('1.Locations'!F2:F11,AK12 + 1)</xm:f>
            <x14:dxf>
              <fill>
                <patternFill>
                  <bgColor indexed="52"/>
                </patternFill>
              </fill>
            </x14:dxf>
          </x14:cfRule>
          <xm:sqref>AP12</xm:sqref>
        </x14:conditionalFormatting>
        <x14:conditionalFormatting xmlns:xm="http://schemas.microsoft.com/office/excel/2006/main">
          <x14:cfRule type="expression" priority="118" stopIfTrue="1" id="{4891E213-1BBD-4DED-A748-385FA96C31E7}">
            <xm:f>(60 * HOUR(AP12) + MINUTE(AP12)) &gt;(60 * HOUR(INDEX('1.Locations'!G2:G11,AK12 + 1)) +MINUTE(INDEX('1.Locations'!G2:G11,AK12 + 1)))</xm:f>
            <x14:dxf>
              <fill>
                <patternFill>
                  <bgColor indexed="10"/>
                </patternFill>
              </fill>
            </x14:dxf>
          </x14:cfRule>
          <xm:sqref>AP12</xm:sqref>
        </x14:conditionalFormatting>
        <x14:conditionalFormatting xmlns:xm="http://schemas.microsoft.com/office/excel/2006/main">
          <x14:cfRule type="expression" priority="119" stopIfTrue="1" id="{F7FC5FBB-D9D6-4397-B308-F2DC23D943E5}">
            <xm:f>(60 * HOUR(AQ12) + MINUTE(AQ12)) &gt;(60 * HOUR(INDEX('1.Locations'!G2:G11,AK12 + 1)) +MINUTE(INDEX('1.Locations'!G2:G11,AK12 + 1)))</xm:f>
            <x14:dxf>
              <fill>
                <patternFill>
                  <bgColor indexed="10"/>
                </patternFill>
              </fill>
            </x14:dxf>
          </x14:cfRule>
          <xm:sqref>AQ12</xm:sqref>
        </x14:conditionalFormatting>
        <x14:conditionalFormatting xmlns:xm="http://schemas.microsoft.com/office/excel/2006/main">
          <x14:cfRule type="cellIs" priority="120" stopIfTrue="1" operator="lessThan" id="{C77C8CA3-1E88-4561-B17B-254EAE1D82B0}">
            <xm:f>INDEX('1.Locations'!F2:F11,AK13 + 1)</xm:f>
            <x14:dxf>
              <fill>
                <patternFill>
                  <bgColor indexed="52"/>
                </patternFill>
              </fill>
            </x14:dxf>
          </x14:cfRule>
          <xm:sqref>AP13</xm:sqref>
        </x14:conditionalFormatting>
        <x14:conditionalFormatting xmlns:xm="http://schemas.microsoft.com/office/excel/2006/main">
          <x14:cfRule type="expression" priority="121" stopIfTrue="1" id="{C7789FDD-4091-405D-9428-1E4798E0EE68}">
            <xm:f>(60 * HOUR(AP13) + MINUTE(AP13)) &gt;(60 * HOUR(INDEX('1.Locations'!G2:G11,AK13 + 1)) +MINUTE(INDEX('1.Locations'!G2:G11,AK13 + 1)))</xm:f>
            <x14:dxf>
              <fill>
                <patternFill>
                  <bgColor indexed="10"/>
                </patternFill>
              </fill>
            </x14:dxf>
          </x14:cfRule>
          <xm:sqref>AP13</xm:sqref>
        </x14:conditionalFormatting>
        <x14:conditionalFormatting xmlns:xm="http://schemas.microsoft.com/office/excel/2006/main">
          <x14:cfRule type="expression" priority="122" stopIfTrue="1" id="{D3CC26AB-ABD4-4A9C-8161-13A1B5234408}">
            <xm:f>(60 * HOUR(AQ13) + MINUTE(AQ13)) &gt;(60 * HOUR(INDEX('1.Locations'!G2:G11,AK13 + 1)) +MINUTE(INDEX('1.Locations'!G2:G11,AK13 + 1)))</xm:f>
            <x14:dxf>
              <fill>
                <patternFill>
                  <bgColor indexed="10"/>
                </patternFill>
              </fill>
            </x14:dxf>
          </x14:cfRule>
          <xm:sqref>AQ13</xm:sqref>
        </x14:conditionalFormatting>
        <x14:conditionalFormatting xmlns:xm="http://schemas.microsoft.com/office/excel/2006/main">
          <x14:cfRule type="cellIs" priority="123" stopIfTrue="1" operator="lessThan" id="{61C8E95F-E304-4A9F-AADE-F9FBBA0760A5}">
            <xm:f>INDEX('1.Locations'!F2:F11,AK14 + 1)</xm:f>
            <x14:dxf>
              <fill>
                <patternFill>
                  <bgColor indexed="52"/>
                </patternFill>
              </fill>
            </x14:dxf>
          </x14:cfRule>
          <xm:sqref>AP14</xm:sqref>
        </x14:conditionalFormatting>
        <x14:conditionalFormatting xmlns:xm="http://schemas.microsoft.com/office/excel/2006/main">
          <x14:cfRule type="expression" priority="124" stopIfTrue="1" id="{25747A69-E925-46D2-9ACB-12BC296D456A}">
            <xm:f>(60 * HOUR(AP14) + MINUTE(AP14)) &gt;(60 * HOUR(INDEX('1.Locations'!G2:G11,AK14 + 1)) +MINUTE(INDEX('1.Locations'!G2:G11,AK14 + 1)))</xm:f>
            <x14:dxf>
              <fill>
                <patternFill>
                  <bgColor indexed="10"/>
                </patternFill>
              </fill>
            </x14:dxf>
          </x14:cfRule>
          <xm:sqref>AP14</xm:sqref>
        </x14:conditionalFormatting>
        <x14:conditionalFormatting xmlns:xm="http://schemas.microsoft.com/office/excel/2006/main">
          <x14:cfRule type="expression" priority="125" stopIfTrue="1" id="{7E73C553-63DC-465A-8E7C-771FE11403D7}">
            <xm:f>(60 * HOUR(AQ14) + MINUTE(AQ14)) &gt;(60 * HOUR(INDEX('1.Locations'!G2:G11,AK14 + 1)) +MINUTE(INDEX('1.Locations'!G2:G11,AK14 + 1)))</xm:f>
            <x14:dxf>
              <fill>
                <patternFill>
                  <bgColor indexed="10"/>
                </patternFill>
              </fill>
            </x14:dxf>
          </x14:cfRule>
          <xm:sqref>AQ14</xm:sqref>
        </x14:conditionalFormatting>
        <x14:conditionalFormatting xmlns:xm="http://schemas.microsoft.com/office/excel/2006/main">
          <x14:cfRule type="cellIs" priority="126" stopIfTrue="1" operator="lessThan" id="{AAC4A9A8-5098-4E9B-BBF4-AC441DBED72C}">
            <xm:f>INDEX('1.Locations'!F2:F11,AK15 + 1)</xm:f>
            <x14:dxf>
              <fill>
                <patternFill>
                  <bgColor indexed="52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expression" priority="127" stopIfTrue="1" id="{0A7C05B4-8002-460C-9703-2FB62D6AB046}">
            <xm:f>(60 * HOUR(AP15) + MINUTE(AP15)) &gt;(60 * HOUR(INDEX('1.Locations'!G2:G11,AK15 + 1)) +MINUTE(INDEX('1.Locations'!G2:G11,AK15 + 1)))</xm:f>
            <x14:dxf>
              <fill>
                <patternFill>
                  <bgColor indexed="10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expression" priority="128" stopIfTrue="1" id="{C0B36BDC-FB8D-47B1-94B0-980331541BCC}">
            <xm:f>(60 * HOUR(AQ15) + MINUTE(AQ15)) &gt;(60 * HOUR(INDEX('1.Locations'!G2:G11,AK15 + 1)) +MINUTE(INDEX('1.Locations'!G2:G11,AK15 + 1)))</xm:f>
            <x14:dxf>
              <fill>
                <patternFill>
                  <bgColor indexed="10"/>
                </patternFill>
              </fill>
            </x14:dxf>
          </x14:cfRule>
          <xm:sqref>AQ15</xm:sqref>
        </x14:conditionalFormatting>
        <x14:conditionalFormatting xmlns:xm="http://schemas.microsoft.com/office/excel/2006/main">
          <x14:cfRule type="cellIs" priority="129" stopIfTrue="1" operator="greaterThan" id="{342A4999-CAE7-4FC3-A1E8-A79FF0B7D713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AN6:AN15</xm:sqref>
        </x14:conditionalFormatting>
        <x14:conditionalFormatting xmlns:xm="http://schemas.microsoft.com/office/excel/2006/main">
          <x14:cfRule type="cellIs" priority="130" stopIfTrue="1" operator="greaterThan" id="{8677C3F2-EF37-4390-9324-B5A1851A2175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AX6:AX15</xm:sqref>
        </x14:conditionalFormatting>
        <x14:conditionalFormatting xmlns:xm="http://schemas.microsoft.com/office/excel/2006/main">
          <x14:cfRule type="cellIs" priority="132" stopIfTrue="1" operator="greaterThan" id="{78F6DD44-808E-483A-AC5D-6F3E3303B700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AO6:AO15</xm:sqref>
        </x14:conditionalFormatting>
        <x14:conditionalFormatting xmlns:xm="http://schemas.microsoft.com/office/excel/2006/main">
          <x14:cfRule type="cellIs" priority="133" stopIfTrue="1" operator="greaterThan" id="{C87DC091-48C6-49B0-9E4B-7F87829E6452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AR6:AR15</xm:sqref>
        </x14:conditionalFormatting>
        <x14:conditionalFormatting xmlns:xm="http://schemas.microsoft.com/office/excel/2006/main">
          <x14:cfRule type="expression" priority="135" stopIfTrue="1" id="{A19F8EA8-64C0-4B6D-9FFB-2598926292EE}">
            <xm:f>(60 * HOUR(BG5) + MINUTE(BG5)) &gt;(60 * HOUR(INDEX('1.Locations'!G2:G11,BB5 + 1)) +MINUTE(INDEX('1.Locations'!G2:G11,BB5 + 1)))</xm:f>
            <x14:dxf>
              <fill>
                <patternFill>
                  <bgColor indexed="10"/>
                </patternFill>
              </fill>
            </x14:dxf>
          </x14:cfRule>
          <xm:sqref>BG5</xm:sqref>
        </x14:conditionalFormatting>
        <x14:conditionalFormatting xmlns:xm="http://schemas.microsoft.com/office/excel/2006/main">
          <x14:cfRule type="expression" priority="136" stopIfTrue="1" id="{A21BEE62-9960-4CD2-9373-0273A21A2F7D}">
            <xm:f>(60 * HOUR(BH5) + MINUTE(BH5)) &gt;(60 * HOUR(INDEX('1.Locations'!G2:G11,BB5 + 1)) +MINUTE(INDEX('1.Locations'!G2:G11,BB5 + 1)))</xm:f>
            <x14:dxf>
              <fill>
                <patternFill>
                  <bgColor indexed="10"/>
                </patternFill>
              </fill>
            </x14:dxf>
          </x14:cfRule>
          <xm:sqref>BH5</xm:sqref>
        </x14:conditionalFormatting>
        <x14:conditionalFormatting xmlns:xm="http://schemas.microsoft.com/office/excel/2006/main">
          <x14:cfRule type="cellIs" priority="137" stopIfTrue="1" operator="lessThan" id="{9F237038-ACEC-4169-A29A-308D2327340D}">
            <xm:f>INDEX('1.Locations'!F2:F11,BB6 + 1)</xm:f>
            <x14:dxf>
              <fill>
                <patternFill>
                  <bgColor indexed="52"/>
                </patternFill>
              </fill>
            </x14:dxf>
          </x14:cfRule>
          <xm:sqref>BG6</xm:sqref>
        </x14:conditionalFormatting>
        <x14:conditionalFormatting xmlns:xm="http://schemas.microsoft.com/office/excel/2006/main">
          <x14:cfRule type="expression" priority="138" stopIfTrue="1" id="{41A593F6-B6BE-4600-80A6-3F157A09B4C1}">
            <xm:f>(60 * HOUR(BG6) + MINUTE(BG6)) &gt;(60 * HOUR(INDEX('1.Locations'!G2:G11,BB6 + 1)) +MINUTE(INDEX('1.Locations'!G2:G11,BB6 + 1)))</xm:f>
            <x14:dxf>
              <fill>
                <patternFill>
                  <bgColor indexed="10"/>
                </patternFill>
              </fill>
            </x14:dxf>
          </x14:cfRule>
          <xm:sqref>BG6</xm:sqref>
        </x14:conditionalFormatting>
        <x14:conditionalFormatting xmlns:xm="http://schemas.microsoft.com/office/excel/2006/main">
          <x14:cfRule type="expression" priority="139" stopIfTrue="1" id="{91973B33-EE27-4BB1-A6CC-D9333D6B514E}">
            <xm:f>(60 * HOUR(BH6) + MINUTE(BH6)) &gt;(60 * HOUR(INDEX('1.Locations'!G2:G11,BB6 + 1)) +MINUTE(INDEX('1.Locations'!G2:G11,BB6 + 1)))</xm:f>
            <x14:dxf>
              <fill>
                <patternFill>
                  <bgColor indexed="10"/>
                </patternFill>
              </fill>
            </x14:dxf>
          </x14:cfRule>
          <xm:sqref>BH6</xm:sqref>
        </x14:conditionalFormatting>
        <x14:conditionalFormatting xmlns:xm="http://schemas.microsoft.com/office/excel/2006/main">
          <x14:cfRule type="cellIs" priority="140" stopIfTrue="1" operator="lessThan" id="{8DC8D417-0869-44FE-A9BE-B7727691E9F1}">
            <xm:f>INDEX('1.Locations'!F2:F11,BB7 + 1)</xm:f>
            <x14:dxf>
              <fill>
                <patternFill>
                  <bgColor indexed="52"/>
                </patternFill>
              </fill>
            </x14:dxf>
          </x14:cfRule>
          <xm:sqref>BG7</xm:sqref>
        </x14:conditionalFormatting>
        <x14:conditionalFormatting xmlns:xm="http://schemas.microsoft.com/office/excel/2006/main">
          <x14:cfRule type="expression" priority="141" stopIfTrue="1" id="{161E1131-D352-43B6-9A7B-DD7A7276CA20}">
            <xm:f>(60 * HOUR(BG7) + MINUTE(BG7)) &gt;(60 * HOUR(INDEX('1.Locations'!G2:G11,BB7 + 1)) +MINUTE(INDEX('1.Locations'!G2:G11,BB7 + 1)))</xm:f>
            <x14:dxf>
              <fill>
                <patternFill>
                  <bgColor indexed="10"/>
                </patternFill>
              </fill>
            </x14:dxf>
          </x14:cfRule>
          <xm:sqref>BG7</xm:sqref>
        </x14:conditionalFormatting>
        <x14:conditionalFormatting xmlns:xm="http://schemas.microsoft.com/office/excel/2006/main">
          <x14:cfRule type="expression" priority="142" stopIfTrue="1" id="{BA366B59-EAF3-4649-B7BD-8D41B9D48652}">
            <xm:f>(60 * HOUR(BH7) + MINUTE(BH7)) &gt;(60 * HOUR(INDEX('1.Locations'!G2:G11,BB7 + 1)) +MINUTE(INDEX('1.Locations'!G2:G11,BB7 + 1)))</xm:f>
            <x14:dxf>
              <fill>
                <patternFill>
                  <bgColor indexed="10"/>
                </patternFill>
              </fill>
            </x14:dxf>
          </x14:cfRule>
          <xm:sqref>BH7</xm:sqref>
        </x14:conditionalFormatting>
        <x14:conditionalFormatting xmlns:xm="http://schemas.microsoft.com/office/excel/2006/main">
          <x14:cfRule type="cellIs" priority="143" stopIfTrue="1" operator="lessThan" id="{15A813FF-1989-4DD3-A724-C4FBC8A9D944}">
            <xm:f>INDEX('1.Locations'!F2:F11,BB8 + 1)</xm:f>
            <x14:dxf>
              <fill>
                <patternFill>
                  <bgColor indexed="52"/>
                </patternFill>
              </fill>
            </x14:dxf>
          </x14:cfRule>
          <xm:sqref>BG8</xm:sqref>
        </x14:conditionalFormatting>
        <x14:conditionalFormatting xmlns:xm="http://schemas.microsoft.com/office/excel/2006/main">
          <x14:cfRule type="expression" priority="144" stopIfTrue="1" id="{A8324C16-2A0B-4B4A-A9DF-520DCDC8ECC7}">
            <xm:f>(60 * HOUR(BG8) + MINUTE(BG8)) &gt;(60 * HOUR(INDEX('1.Locations'!G2:G11,BB8 + 1)) +MINUTE(INDEX('1.Locations'!G2:G11,BB8 + 1)))</xm:f>
            <x14:dxf>
              <fill>
                <patternFill>
                  <bgColor indexed="10"/>
                </patternFill>
              </fill>
            </x14:dxf>
          </x14:cfRule>
          <xm:sqref>BG8</xm:sqref>
        </x14:conditionalFormatting>
        <x14:conditionalFormatting xmlns:xm="http://schemas.microsoft.com/office/excel/2006/main">
          <x14:cfRule type="expression" priority="145" stopIfTrue="1" id="{9E605B18-D4FB-42BC-8D78-C3EB99F9DFC9}">
            <xm:f>(60 * HOUR(BH8) + MINUTE(BH8)) &gt;(60 * HOUR(INDEX('1.Locations'!G2:G11,BB8 + 1)) +MINUTE(INDEX('1.Locations'!G2:G11,BB8 + 1)))</xm:f>
            <x14:dxf>
              <fill>
                <patternFill>
                  <bgColor indexed="10"/>
                </patternFill>
              </fill>
            </x14:dxf>
          </x14:cfRule>
          <xm:sqref>BH8</xm:sqref>
        </x14:conditionalFormatting>
        <x14:conditionalFormatting xmlns:xm="http://schemas.microsoft.com/office/excel/2006/main">
          <x14:cfRule type="cellIs" priority="146" stopIfTrue="1" operator="lessThan" id="{68531A3D-6B86-4B93-A71E-DAA06B7F7B34}">
            <xm:f>INDEX('1.Locations'!F2:F11,BB9 + 1)</xm:f>
            <x14:dxf>
              <fill>
                <patternFill>
                  <bgColor indexed="52"/>
                </patternFill>
              </fill>
            </x14:dxf>
          </x14:cfRule>
          <xm:sqref>BG9</xm:sqref>
        </x14:conditionalFormatting>
        <x14:conditionalFormatting xmlns:xm="http://schemas.microsoft.com/office/excel/2006/main">
          <x14:cfRule type="expression" priority="147" stopIfTrue="1" id="{81EFCE6C-56C1-45D1-A869-6D2E51EBB630}">
            <xm:f>(60 * HOUR(BG9) + MINUTE(BG9)) &gt;(60 * HOUR(INDEX('1.Locations'!G2:G11,BB9 + 1)) +MINUTE(INDEX('1.Locations'!G2:G11,BB9 + 1)))</xm:f>
            <x14:dxf>
              <fill>
                <patternFill>
                  <bgColor indexed="10"/>
                </patternFill>
              </fill>
            </x14:dxf>
          </x14:cfRule>
          <xm:sqref>BG9</xm:sqref>
        </x14:conditionalFormatting>
        <x14:conditionalFormatting xmlns:xm="http://schemas.microsoft.com/office/excel/2006/main">
          <x14:cfRule type="expression" priority="148" stopIfTrue="1" id="{242455AE-DA31-411A-A775-713919718B24}">
            <xm:f>(60 * HOUR(BH9) + MINUTE(BH9)) &gt;(60 * HOUR(INDEX('1.Locations'!G2:G11,BB9 + 1)) +MINUTE(INDEX('1.Locations'!G2:G11,BB9 + 1)))</xm:f>
            <x14:dxf>
              <fill>
                <patternFill>
                  <bgColor indexed="10"/>
                </patternFill>
              </fill>
            </x14:dxf>
          </x14:cfRule>
          <xm:sqref>BH9</xm:sqref>
        </x14:conditionalFormatting>
        <x14:conditionalFormatting xmlns:xm="http://schemas.microsoft.com/office/excel/2006/main">
          <x14:cfRule type="cellIs" priority="149" stopIfTrue="1" operator="lessThan" id="{56DACB49-910C-4691-80A9-9BD591BDC008}">
            <xm:f>INDEX('1.Locations'!F2:F11,BB10 + 1)</xm:f>
            <x14:dxf>
              <fill>
                <patternFill>
                  <bgColor indexed="52"/>
                </patternFill>
              </fill>
            </x14:dxf>
          </x14:cfRule>
          <xm:sqref>BG10</xm:sqref>
        </x14:conditionalFormatting>
        <x14:conditionalFormatting xmlns:xm="http://schemas.microsoft.com/office/excel/2006/main">
          <x14:cfRule type="expression" priority="150" stopIfTrue="1" id="{3092B74F-8B12-4D1A-ADDD-68BF97245EB3}">
            <xm:f>(60 * HOUR(BG10) + MINUTE(BG10)) &gt;(60 * HOUR(INDEX('1.Locations'!G2:G11,BB10 + 1)) +MINUTE(INDEX('1.Locations'!G2:G11,BB10 + 1)))</xm:f>
            <x14:dxf>
              <fill>
                <patternFill>
                  <bgColor indexed="10"/>
                </patternFill>
              </fill>
            </x14:dxf>
          </x14:cfRule>
          <xm:sqref>BG10</xm:sqref>
        </x14:conditionalFormatting>
        <x14:conditionalFormatting xmlns:xm="http://schemas.microsoft.com/office/excel/2006/main">
          <x14:cfRule type="expression" priority="151" stopIfTrue="1" id="{19BA41BE-16F9-40F9-B3D7-3D6913472E29}">
            <xm:f>(60 * HOUR(BH10) + MINUTE(BH10)) &gt;(60 * HOUR(INDEX('1.Locations'!G2:G11,BB10 + 1)) +MINUTE(INDEX('1.Locations'!G2:G11,BB10 + 1)))</xm:f>
            <x14:dxf>
              <fill>
                <patternFill>
                  <bgColor indexed="10"/>
                </patternFill>
              </fill>
            </x14:dxf>
          </x14:cfRule>
          <xm:sqref>BH10</xm:sqref>
        </x14:conditionalFormatting>
        <x14:conditionalFormatting xmlns:xm="http://schemas.microsoft.com/office/excel/2006/main">
          <x14:cfRule type="cellIs" priority="152" stopIfTrue="1" operator="lessThan" id="{95FA71E3-780F-4918-8B52-DBE3906B9013}">
            <xm:f>INDEX('1.Locations'!F2:F11,BB11 + 1)</xm:f>
            <x14:dxf>
              <fill>
                <patternFill>
                  <bgColor indexed="52"/>
                </patternFill>
              </fill>
            </x14:dxf>
          </x14:cfRule>
          <xm:sqref>BG11</xm:sqref>
        </x14:conditionalFormatting>
        <x14:conditionalFormatting xmlns:xm="http://schemas.microsoft.com/office/excel/2006/main">
          <x14:cfRule type="expression" priority="153" stopIfTrue="1" id="{AC0EA340-20E1-4FAF-9981-6D9E078E4C54}">
            <xm:f>(60 * HOUR(BG11) + MINUTE(BG11)) &gt;(60 * HOUR(INDEX('1.Locations'!G2:G11,BB11 + 1)) +MINUTE(INDEX('1.Locations'!G2:G11,BB11 + 1)))</xm:f>
            <x14:dxf>
              <fill>
                <patternFill>
                  <bgColor indexed="10"/>
                </patternFill>
              </fill>
            </x14:dxf>
          </x14:cfRule>
          <xm:sqref>BG11</xm:sqref>
        </x14:conditionalFormatting>
        <x14:conditionalFormatting xmlns:xm="http://schemas.microsoft.com/office/excel/2006/main">
          <x14:cfRule type="expression" priority="154" stopIfTrue="1" id="{ADDDF9F8-5C6E-45BA-854B-D059F10ECFE2}">
            <xm:f>(60 * HOUR(BH11) + MINUTE(BH11)) &gt;(60 * HOUR(INDEX('1.Locations'!G2:G11,BB11 + 1)) +MINUTE(INDEX('1.Locations'!G2:G11,BB11 + 1)))</xm:f>
            <x14:dxf>
              <fill>
                <patternFill>
                  <bgColor indexed="10"/>
                </patternFill>
              </fill>
            </x14:dxf>
          </x14:cfRule>
          <xm:sqref>BH11</xm:sqref>
        </x14:conditionalFormatting>
        <x14:conditionalFormatting xmlns:xm="http://schemas.microsoft.com/office/excel/2006/main">
          <x14:cfRule type="cellIs" priority="155" stopIfTrue="1" operator="lessThan" id="{09AF3608-E6CB-4F5F-8D1D-856E4B409BBA}">
            <xm:f>INDEX('1.Locations'!F2:F11,BB12 + 1)</xm:f>
            <x14:dxf>
              <fill>
                <patternFill>
                  <bgColor indexed="52"/>
                </patternFill>
              </fill>
            </x14:dxf>
          </x14:cfRule>
          <xm:sqref>BG12</xm:sqref>
        </x14:conditionalFormatting>
        <x14:conditionalFormatting xmlns:xm="http://schemas.microsoft.com/office/excel/2006/main">
          <x14:cfRule type="expression" priority="156" stopIfTrue="1" id="{196C2BDF-96A3-4B54-A834-78A1A29E8D04}">
            <xm:f>(60 * HOUR(BG12) + MINUTE(BG12)) &gt;(60 * HOUR(INDEX('1.Locations'!G2:G11,BB12 + 1)) +MINUTE(INDEX('1.Locations'!G2:G11,BB12 + 1)))</xm:f>
            <x14:dxf>
              <fill>
                <patternFill>
                  <bgColor indexed="10"/>
                </patternFill>
              </fill>
            </x14:dxf>
          </x14:cfRule>
          <xm:sqref>BG12</xm:sqref>
        </x14:conditionalFormatting>
        <x14:conditionalFormatting xmlns:xm="http://schemas.microsoft.com/office/excel/2006/main">
          <x14:cfRule type="expression" priority="157" stopIfTrue="1" id="{0D5C3FFD-C04C-45FC-BAF5-92CB8C81D8FF}">
            <xm:f>(60 * HOUR(BH12) + MINUTE(BH12)) &gt;(60 * HOUR(INDEX('1.Locations'!G2:G11,BB12 + 1)) +MINUTE(INDEX('1.Locations'!G2:G11,BB12 + 1)))</xm:f>
            <x14:dxf>
              <fill>
                <patternFill>
                  <bgColor indexed="10"/>
                </patternFill>
              </fill>
            </x14:dxf>
          </x14:cfRule>
          <xm:sqref>BH12</xm:sqref>
        </x14:conditionalFormatting>
        <x14:conditionalFormatting xmlns:xm="http://schemas.microsoft.com/office/excel/2006/main">
          <x14:cfRule type="cellIs" priority="158" stopIfTrue="1" operator="lessThan" id="{2B16728E-D34E-4E3A-B463-C4DD99FA18BD}">
            <xm:f>INDEX('1.Locations'!F2:F11,BB13 + 1)</xm:f>
            <x14:dxf>
              <fill>
                <patternFill>
                  <bgColor indexed="52"/>
                </patternFill>
              </fill>
            </x14:dxf>
          </x14:cfRule>
          <xm:sqref>BG13</xm:sqref>
        </x14:conditionalFormatting>
        <x14:conditionalFormatting xmlns:xm="http://schemas.microsoft.com/office/excel/2006/main">
          <x14:cfRule type="expression" priority="159" stopIfTrue="1" id="{9B5B6D4A-E14A-429C-AD93-FA53C6E0EBA0}">
            <xm:f>(60 * HOUR(BG13) + MINUTE(BG13)) &gt;(60 * HOUR(INDEX('1.Locations'!G2:G11,BB13 + 1)) +MINUTE(INDEX('1.Locations'!G2:G11,BB13 + 1)))</xm:f>
            <x14:dxf>
              <fill>
                <patternFill>
                  <bgColor indexed="10"/>
                </patternFill>
              </fill>
            </x14:dxf>
          </x14:cfRule>
          <xm:sqref>BG13</xm:sqref>
        </x14:conditionalFormatting>
        <x14:conditionalFormatting xmlns:xm="http://schemas.microsoft.com/office/excel/2006/main">
          <x14:cfRule type="expression" priority="160" stopIfTrue="1" id="{79B68C2B-BF64-4A51-A366-6714D129AA29}">
            <xm:f>(60 * HOUR(BH13) + MINUTE(BH13)) &gt;(60 * HOUR(INDEX('1.Locations'!G2:G11,BB13 + 1)) +MINUTE(INDEX('1.Locations'!G2:G11,BB13 + 1)))</xm:f>
            <x14:dxf>
              <fill>
                <patternFill>
                  <bgColor indexed="10"/>
                </patternFill>
              </fill>
            </x14:dxf>
          </x14:cfRule>
          <xm:sqref>BH13</xm:sqref>
        </x14:conditionalFormatting>
        <x14:conditionalFormatting xmlns:xm="http://schemas.microsoft.com/office/excel/2006/main">
          <x14:cfRule type="cellIs" priority="161" stopIfTrue="1" operator="lessThan" id="{86565FE6-DF86-42F8-93C8-6F3877159CA2}">
            <xm:f>INDEX('1.Locations'!F2:F11,BB14 + 1)</xm:f>
            <x14:dxf>
              <fill>
                <patternFill>
                  <bgColor indexed="52"/>
                </patternFill>
              </fill>
            </x14:dxf>
          </x14:cfRule>
          <xm:sqref>BG14</xm:sqref>
        </x14:conditionalFormatting>
        <x14:conditionalFormatting xmlns:xm="http://schemas.microsoft.com/office/excel/2006/main">
          <x14:cfRule type="expression" priority="162" stopIfTrue="1" id="{0939848D-D7BA-434C-9F8B-1EECC6AC29A5}">
            <xm:f>(60 * HOUR(BG14) + MINUTE(BG14)) &gt;(60 * HOUR(INDEX('1.Locations'!G2:G11,BB14 + 1)) +MINUTE(INDEX('1.Locations'!G2:G11,BB14 + 1)))</xm:f>
            <x14:dxf>
              <fill>
                <patternFill>
                  <bgColor indexed="10"/>
                </patternFill>
              </fill>
            </x14:dxf>
          </x14:cfRule>
          <xm:sqref>BG14</xm:sqref>
        </x14:conditionalFormatting>
        <x14:conditionalFormatting xmlns:xm="http://schemas.microsoft.com/office/excel/2006/main">
          <x14:cfRule type="expression" priority="163" stopIfTrue="1" id="{D3DE83CB-6AA1-4E01-B16E-45D811F46E1C}">
            <xm:f>(60 * HOUR(BH14) + MINUTE(BH14)) &gt;(60 * HOUR(INDEX('1.Locations'!G2:G11,BB14 + 1)) +MINUTE(INDEX('1.Locations'!G2:G11,BB14 + 1)))</xm:f>
            <x14:dxf>
              <fill>
                <patternFill>
                  <bgColor indexed="10"/>
                </patternFill>
              </fill>
            </x14:dxf>
          </x14:cfRule>
          <xm:sqref>BH14</xm:sqref>
        </x14:conditionalFormatting>
        <x14:conditionalFormatting xmlns:xm="http://schemas.microsoft.com/office/excel/2006/main">
          <x14:cfRule type="cellIs" priority="164" stopIfTrue="1" operator="lessThan" id="{720D6520-B5D5-42D6-B96E-42CEF2CEA3BB}">
            <xm:f>INDEX('1.Locations'!F2:F11,BB15 + 1)</xm:f>
            <x14:dxf>
              <fill>
                <patternFill>
                  <bgColor indexed="52"/>
                </patternFill>
              </fill>
            </x14:dxf>
          </x14:cfRule>
          <xm:sqref>BG15</xm:sqref>
        </x14:conditionalFormatting>
        <x14:conditionalFormatting xmlns:xm="http://schemas.microsoft.com/office/excel/2006/main">
          <x14:cfRule type="expression" priority="165" stopIfTrue="1" id="{4FD875CD-F3A3-4043-B918-6C56E93781ED}">
            <xm:f>(60 * HOUR(BG15) + MINUTE(BG15)) &gt;(60 * HOUR(INDEX('1.Locations'!G2:G11,BB15 + 1)) +MINUTE(INDEX('1.Locations'!G2:G11,BB15 + 1)))</xm:f>
            <x14:dxf>
              <fill>
                <patternFill>
                  <bgColor indexed="10"/>
                </patternFill>
              </fill>
            </x14:dxf>
          </x14:cfRule>
          <xm:sqref>BG15</xm:sqref>
        </x14:conditionalFormatting>
        <x14:conditionalFormatting xmlns:xm="http://schemas.microsoft.com/office/excel/2006/main">
          <x14:cfRule type="expression" priority="166" stopIfTrue="1" id="{8423378C-FFAE-470F-8767-688DDADF556E}">
            <xm:f>(60 * HOUR(BH15) + MINUTE(BH15)) &gt;(60 * HOUR(INDEX('1.Locations'!G2:G11,BB15 + 1)) +MINUTE(INDEX('1.Locations'!G2:G11,BB15 + 1)))</xm:f>
            <x14:dxf>
              <fill>
                <patternFill>
                  <bgColor indexed="10"/>
                </patternFill>
              </fill>
            </x14:dxf>
          </x14:cfRule>
          <xm:sqref>BH15</xm:sqref>
        </x14:conditionalFormatting>
        <x14:conditionalFormatting xmlns:xm="http://schemas.microsoft.com/office/excel/2006/main">
          <x14:cfRule type="cellIs" priority="167" stopIfTrue="1" operator="greaterThan" id="{C3573C96-86DD-4F2E-8CDA-F9490B3EE2CD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BE6:BE15</xm:sqref>
        </x14:conditionalFormatting>
        <x14:conditionalFormatting xmlns:xm="http://schemas.microsoft.com/office/excel/2006/main">
          <x14:cfRule type="cellIs" priority="168" stopIfTrue="1" operator="greaterThan" id="{5597777D-311B-43FF-BB2A-5CF8F275854D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BO6:BO15</xm:sqref>
        </x14:conditionalFormatting>
        <x14:conditionalFormatting xmlns:xm="http://schemas.microsoft.com/office/excel/2006/main">
          <x14:cfRule type="cellIs" priority="170" stopIfTrue="1" operator="greaterThan" id="{AE965527-83B6-4E3E-A6DD-6E08A73CCEFA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BF6:BF15</xm:sqref>
        </x14:conditionalFormatting>
        <x14:conditionalFormatting xmlns:xm="http://schemas.microsoft.com/office/excel/2006/main">
          <x14:cfRule type="cellIs" priority="171" stopIfTrue="1" operator="greaterThan" id="{7F8A255E-5235-4BE4-A624-2842420347A4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BI6:BI15</xm:sqref>
        </x14:conditionalFormatting>
        <x14:conditionalFormatting xmlns:xm="http://schemas.microsoft.com/office/excel/2006/main">
          <x14:cfRule type="expression" priority="173" stopIfTrue="1" id="{B5F7055D-4376-4C7F-8AFA-6B394585235F}">
            <xm:f>(60 * HOUR(BX5) + MINUTE(BX5)) &gt;(60 * HOUR(INDEX('1.Locations'!G2:G11,BS5 + 1)) +MINUTE(INDEX('1.Locations'!G2:G11,BS5 + 1)))</xm:f>
            <x14:dxf>
              <fill>
                <patternFill>
                  <bgColor indexed="10"/>
                </patternFill>
              </fill>
            </x14:dxf>
          </x14:cfRule>
          <xm:sqref>BX5</xm:sqref>
        </x14:conditionalFormatting>
        <x14:conditionalFormatting xmlns:xm="http://schemas.microsoft.com/office/excel/2006/main">
          <x14:cfRule type="expression" priority="174" stopIfTrue="1" id="{4E86D7BA-DDEE-4503-9078-D01ABFDE2D28}">
            <xm:f>(60 * HOUR(BY5) + MINUTE(BY5)) &gt;(60 * HOUR(INDEX('1.Locations'!G2:G11,BS5 + 1)) +MINUTE(INDEX('1.Locations'!G2:G11,BS5 + 1)))</xm:f>
            <x14:dxf>
              <fill>
                <patternFill>
                  <bgColor indexed="10"/>
                </patternFill>
              </fill>
            </x14:dxf>
          </x14:cfRule>
          <xm:sqref>BY5</xm:sqref>
        </x14:conditionalFormatting>
        <x14:conditionalFormatting xmlns:xm="http://schemas.microsoft.com/office/excel/2006/main">
          <x14:cfRule type="cellIs" priority="175" stopIfTrue="1" operator="lessThan" id="{06EE01C0-402C-416D-B0F4-71DC39FA9204}">
            <xm:f>INDEX('1.Locations'!F2:F11,BS6 + 1)</xm:f>
            <x14:dxf>
              <fill>
                <patternFill>
                  <bgColor indexed="52"/>
                </patternFill>
              </fill>
            </x14:dxf>
          </x14:cfRule>
          <xm:sqref>BX6</xm:sqref>
        </x14:conditionalFormatting>
        <x14:conditionalFormatting xmlns:xm="http://schemas.microsoft.com/office/excel/2006/main">
          <x14:cfRule type="expression" priority="176" stopIfTrue="1" id="{9BB1CB29-2D69-46BD-8CD0-9FF4AECF62D6}">
            <xm:f>(60 * HOUR(BX6) + MINUTE(BX6)) &gt;(60 * HOUR(INDEX('1.Locations'!G2:G11,BS6 + 1)) +MINUTE(INDEX('1.Locations'!G2:G11,BS6 + 1)))</xm:f>
            <x14:dxf>
              <fill>
                <patternFill>
                  <bgColor indexed="10"/>
                </patternFill>
              </fill>
            </x14:dxf>
          </x14:cfRule>
          <xm:sqref>BX6</xm:sqref>
        </x14:conditionalFormatting>
        <x14:conditionalFormatting xmlns:xm="http://schemas.microsoft.com/office/excel/2006/main">
          <x14:cfRule type="expression" priority="177" stopIfTrue="1" id="{F3698CFE-87A2-45A8-A241-52E64337FF60}">
            <xm:f>(60 * HOUR(BY6) + MINUTE(BY6)) &gt;(60 * HOUR(INDEX('1.Locations'!G2:G11,BS6 + 1)) +MINUTE(INDEX('1.Locations'!G2:G11,BS6 + 1)))</xm:f>
            <x14:dxf>
              <fill>
                <patternFill>
                  <bgColor indexed="10"/>
                </patternFill>
              </fill>
            </x14:dxf>
          </x14:cfRule>
          <xm:sqref>BY6</xm:sqref>
        </x14:conditionalFormatting>
        <x14:conditionalFormatting xmlns:xm="http://schemas.microsoft.com/office/excel/2006/main">
          <x14:cfRule type="cellIs" priority="178" stopIfTrue="1" operator="lessThan" id="{87E0364A-9B2C-455E-8362-ED789B17AFAB}">
            <xm:f>INDEX('1.Locations'!F2:F11,BS7 + 1)</xm:f>
            <x14:dxf>
              <fill>
                <patternFill>
                  <bgColor indexed="52"/>
                </patternFill>
              </fill>
            </x14:dxf>
          </x14:cfRule>
          <xm:sqref>BX7</xm:sqref>
        </x14:conditionalFormatting>
        <x14:conditionalFormatting xmlns:xm="http://schemas.microsoft.com/office/excel/2006/main">
          <x14:cfRule type="expression" priority="179" stopIfTrue="1" id="{96D84F16-2834-46C5-929D-6B28DD0665E6}">
            <xm:f>(60 * HOUR(BX7) + MINUTE(BX7)) &gt;(60 * HOUR(INDEX('1.Locations'!G2:G11,BS7 + 1)) +MINUTE(INDEX('1.Locations'!G2:G11,BS7 + 1)))</xm:f>
            <x14:dxf>
              <fill>
                <patternFill>
                  <bgColor indexed="10"/>
                </patternFill>
              </fill>
            </x14:dxf>
          </x14:cfRule>
          <xm:sqref>BX7</xm:sqref>
        </x14:conditionalFormatting>
        <x14:conditionalFormatting xmlns:xm="http://schemas.microsoft.com/office/excel/2006/main">
          <x14:cfRule type="expression" priority="180" stopIfTrue="1" id="{B878F0C6-C9F3-43FD-86A3-CFCA61B0BE75}">
            <xm:f>(60 * HOUR(BY7) + MINUTE(BY7)) &gt;(60 * HOUR(INDEX('1.Locations'!G2:G11,BS7 + 1)) +MINUTE(INDEX('1.Locations'!G2:G11,BS7 + 1)))</xm:f>
            <x14:dxf>
              <fill>
                <patternFill>
                  <bgColor indexed="10"/>
                </patternFill>
              </fill>
            </x14:dxf>
          </x14:cfRule>
          <xm:sqref>BY7</xm:sqref>
        </x14:conditionalFormatting>
        <x14:conditionalFormatting xmlns:xm="http://schemas.microsoft.com/office/excel/2006/main">
          <x14:cfRule type="cellIs" priority="181" stopIfTrue="1" operator="lessThan" id="{6B7BDFAD-8CF4-4949-940C-F4E12C5859C6}">
            <xm:f>INDEX('1.Locations'!F2:F11,BS8 + 1)</xm:f>
            <x14:dxf>
              <fill>
                <patternFill>
                  <bgColor indexed="52"/>
                </patternFill>
              </fill>
            </x14:dxf>
          </x14:cfRule>
          <xm:sqref>BX8</xm:sqref>
        </x14:conditionalFormatting>
        <x14:conditionalFormatting xmlns:xm="http://schemas.microsoft.com/office/excel/2006/main">
          <x14:cfRule type="expression" priority="182" stopIfTrue="1" id="{D8D2A02B-5F7D-44DC-8CBA-EC8F6B4E8DCE}">
            <xm:f>(60 * HOUR(BX8) + MINUTE(BX8)) &gt;(60 * HOUR(INDEX('1.Locations'!G2:G11,BS8 + 1)) +MINUTE(INDEX('1.Locations'!G2:G11,BS8 + 1)))</xm:f>
            <x14:dxf>
              <fill>
                <patternFill>
                  <bgColor indexed="10"/>
                </patternFill>
              </fill>
            </x14:dxf>
          </x14:cfRule>
          <xm:sqref>BX8</xm:sqref>
        </x14:conditionalFormatting>
        <x14:conditionalFormatting xmlns:xm="http://schemas.microsoft.com/office/excel/2006/main">
          <x14:cfRule type="expression" priority="183" stopIfTrue="1" id="{4AC4A5C7-614B-4F74-AB20-15B17D8657F3}">
            <xm:f>(60 * HOUR(BY8) + MINUTE(BY8)) &gt;(60 * HOUR(INDEX('1.Locations'!G2:G11,BS8 + 1)) +MINUTE(INDEX('1.Locations'!G2:G11,BS8 + 1)))</xm:f>
            <x14:dxf>
              <fill>
                <patternFill>
                  <bgColor indexed="10"/>
                </patternFill>
              </fill>
            </x14:dxf>
          </x14:cfRule>
          <xm:sqref>BY8</xm:sqref>
        </x14:conditionalFormatting>
        <x14:conditionalFormatting xmlns:xm="http://schemas.microsoft.com/office/excel/2006/main">
          <x14:cfRule type="cellIs" priority="184" stopIfTrue="1" operator="lessThan" id="{4AFDFCD0-D841-44F1-A496-CFD3229F5C7C}">
            <xm:f>INDEX('1.Locations'!F2:F11,BS9 + 1)</xm:f>
            <x14:dxf>
              <fill>
                <patternFill>
                  <bgColor indexed="52"/>
                </patternFill>
              </fill>
            </x14:dxf>
          </x14:cfRule>
          <xm:sqref>BX9</xm:sqref>
        </x14:conditionalFormatting>
        <x14:conditionalFormatting xmlns:xm="http://schemas.microsoft.com/office/excel/2006/main">
          <x14:cfRule type="expression" priority="185" stopIfTrue="1" id="{FA49D8E7-19CA-40B9-9688-3DEC29D555AC}">
            <xm:f>(60 * HOUR(BX9) + MINUTE(BX9)) &gt;(60 * HOUR(INDEX('1.Locations'!G2:G11,BS9 + 1)) +MINUTE(INDEX('1.Locations'!G2:G11,BS9 + 1)))</xm:f>
            <x14:dxf>
              <fill>
                <patternFill>
                  <bgColor indexed="10"/>
                </patternFill>
              </fill>
            </x14:dxf>
          </x14:cfRule>
          <xm:sqref>BX9</xm:sqref>
        </x14:conditionalFormatting>
        <x14:conditionalFormatting xmlns:xm="http://schemas.microsoft.com/office/excel/2006/main">
          <x14:cfRule type="expression" priority="186" stopIfTrue="1" id="{43BB7781-9861-4A0A-87D9-D11568D420DD}">
            <xm:f>(60 * HOUR(BY9) + MINUTE(BY9)) &gt;(60 * HOUR(INDEX('1.Locations'!G2:G11,BS9 + 1)) +MINUTE(INDEX('1.Locations'!G2:G11,BS9 + 1)))</xm:f>
            <x14:dxf>
              <fill>
                <patternFill>
                  <bgColor indexed="10"/>
                </patternFill>
              </fill>
            </x14:dxf>
          </x14:cfRule>
          <xm:sqref>BY9</xm:sqref>
        </x14:conditionalFormatting>
        <x14:conditionalFormatting xmlns:xm="http://schemas.microsoft.com/office/excel/2006/main">
          <x14:cfRule type="cellIs" priority="187" stopIfTrue="1" operator="lessThan" id="{6D9F24FC-D6FD-4C06-8A88-6CC8BD21DDE7}">
            <xm:f>INDEX('1.Locations'!F2:F11,BS10 + 1)</xm:f>
            <x14:dxf>
              <fill>
                <patternFill>
                  <bgColor indexed="52"/>
                </patternFill>
              </fill>
            </x14:dxf>
          </x14:cfRule>
          <xm:sqref>BX10</xm:sqref>
        </x14:conditionalFormatting>
        <x14:conditionalFormatting xmlns:xm="http://schemas.microsoft.com/office/excel/2006/main">
          <x14:cfRule type="expression" priority="188" stopIfTrue="1" id="{007DA5AB-CD71-4DF1-8577-2B96AF908F87}">
            <xm:f>(60 * HOUR(BX10) + MINUTE(BX10)) &gt;(60 * HOUR(INDEX('1.Locations'!G2:G11,BS10 + 1)) +MINUTE(INDEX('1.Locations'!G2:G11,BS10 + 1)))</xm:f>
            <x14:dxf>
              <fill>
                <patternFill>
                  <bgColor indexed="10"/>
                </patternFill>
              </fill>
            </x14:dxf>
          </x14:cfRule>
          <xm:sqref>BX10</xm:sqref>
        </x14:conditionalFormatting>
        <x14:conditionalFormatting xmlns:xm="http://schemas.microsoft.com/office/excel/2006/main">
          <x14:cfRule type="expression" priority="189" stopIfTrue="1" id="{23CFA7B0-AF03-4F9E-A213-79FB5D599F6C}">
            <xm:f>(60 * HOUR(BY10) + MINUTE(BY10)) &gt;(60 * HOUR(INDEX('1.Locations'!G2:G11,BS10 + 1)) +MINUTE(INDEX('1.Locations'!G2:G11,BS10 + 1)))</xm:f>
            <x14:dxf>
              <fill>
                <patternFill>
                  <bgColor indexed="10"/>
                </patternFill>
              </fill>
            </x14:dxf>
          </x14:cfRule>
          <xm:sqref>BY10</xm:sqref>
        </x14:conditionalFormatting>
        <x14:conditionalFormatting xmlns:xm="http://schemas.microsoft.com/office/excel/2006/main">
          <x14:cfRule type="cellIs" priority="190" stopIfTrue="1" operator="lessThan" id="{D159FDFB-47F6-45B2-9B89-31913C7E7E32}">
            <xm:f>INDEX('1.Locations'!F2:F11,BS11 + 1)</xm:f>
            <x14:dxf>
              <fill>
                <patternFill>
                  <bgColor indexed="52"/>
                </patternFill>
              </fill>
            </x14:dxf>
          </x14:cfRule>
          <xm:sqref>BX11</xm:sqref>
        </x14:conditionalFormatting>
        <x14:conditionalFormatting xmlns:xm="http://schemas.microsoft.com/office/excel/2006/main">
          <x14:cfRule type="expression" priority="191" stopIfTrue="1" id="{B7C305EB-5C88-4D6F-AED1-A60E560633E8}">
            <xm:f>(60 * HOUR(BX11) + MINUTE(BX11)) &gt;(60 * HOUR(INDEX('1.Locations'!G2:G11,BS11 + 1)) +MINUTE(INDEX('1.Locations'!G2:G11,BS11 + 1)))</xm:f>
            <x14:dxf>
              <fill>
                <patternFill>
                  <bgColor indexed="10"/>
                </patternFill>
              </fill>
            </x14:dxf>
          </x14:cfRule>
          <xm:sqref>BX11</xm:sqref>
        </x14:conditionalFormatting>
        <x14:conditionalFormatting xmlns:xm="http://schemas.microsoft.com/office/excel/2006/main">
          <x14:cfRule type="expression" priority="192" stopIfTrue="1" id="{7EA68DD5-EDC0-4EBF-A02C-AE569603ED83}">
            <xm:f>(60 * HOUR(BY11) + MINUTE(BY11)) &gt;(60 * HOUR(INDEX('1.Locations'!G2:G11,BS11 + 1)) +MINUTE(INDEX('1.Locations'!G2:G11,BS11 + 1)))</xm:f>
            <x14:dxf>
              <fill>
                <patternFill>
                  <bgColor indexed="10"/>
                </patternFill>
              </fill>
            </x14:dxf>
          </x14:cfRule>
          <xm:sqref>BY11</xm:sqref>
        </x14:conditionalFormatting>
        <x14:conditionalFormatting xmlns:xm="http://schemas.microsoft.com/office/excel/2006/main">
          <x14:cfRule type="cellIs" priority="193" stopIfTrue="1" operator="lessThan" id="{73050027-EF1E-47DB-B1ED-9F04C3DD2410}">
            <xm:f>INDEX('1.Locations'!F2:F11,BS12 + 1)</xm:f>
            <x14:dxf>
              <fill>
                <patternFill>
                  <bgColor indexed="52"/>
                </patternFill>
              </fill>
            </x14:dxf>
          </x14:cfRule>
          <xm:sqref>BX12</xm:sqref>
        </x14:conditionalFormatting>
        <x14:conditionalFormatting xmlns:xm="http://schemas.microsoft.com/office/excel/2006/main">
          <x14:cfRule type="expression" priority="194" stopIfTrue="1" id="{249765C6-329D-40FA-B094-6DEBDF62E4DC}">
            <xm:f>(60 * HOUR(BX12) + MINUTE(BX12)) &gt;(60 * HOUR(INDEX('1.Locations'!G2:G11,BS12 + 1)) +MINUTE(INDEX('1.Locations'!G2:G11,BS12 + 1)))</xm:f>
            <x14:dxf>
              <fill>
                <patternFill>
                  <bgColor indexed="10"/>
                </patternFill>
              </fill>
            </x14:dxf>
          </x14:cfRule>
          <xm:sqref>BX12</xm:sqref>
        </x14:conditionalFormatting>
        <x14:conditionalFormatting xmlns:xm="http://schemas.microsoft.com/office/excel/2006/main">
          <x14:cfRule type="expression" priority="195" stopIfTrue="1" id="{11EEF518-1F92-4932-9F91-E27575C9138F}">
            <xm:f>(60 * HOUR(BY12) + MINUTE(BY12)) &gt;(60 * HOUR(INDEX('1.Locations'!G2:G11,BS12 + 1)) +MINUTE(INDEX('1.Locations'!G2:G11,BS12 + 1)))</xm:f>
            <x14:dxf>
              <fill>
                <patternFill>
                  <bgColor indexed="10"/>
                </patternFill>
              </fill>
            </x14:dxf>
          </x14:cfRule>
          <xm:sqref>BY12</xm:sqref>
        </x14:conditionalFormatting>
        <x14:conditionalFormatting xmlns:xm="http://schemas.microsoft.com/office/excel/2006/main">
          <x14:cfRule type="cellIs" priority="196" stopIfTrue="1" operator="lessThan" id="{57900A01-02E5-4F5F-BA1B-5DE59A6C3802}">
            <xm:f>INDEX('1.Locations'!F2:F11,BS13 + 1)</xm:f>
            <x14:dxf>
              <fill>
                <patternFill>
                  <bgColor indexed="52"/>
                </patternFill>
              </fill>
            </x14:dxf>
          </x14:cfRule>
          <xm:sqref>BX13</xm:sqref>
        </x14:conditionalFormatting>
        <x14:conditionalFormatting xmlns:xm="http://schemas.microsoft.com/office/excel/2006/main">
          <x14:cfRule type="expression" priority="197" stopIfTrue="1" id="{6055238C-4979-441F-AA89-A722DB9D4C4E}">
            <xm:f>(60 * HOUR(BX13) + MINUTE(BX13)) &gt;(60 * HOUR(INDEX('1.Locations'!G2:G11,BS13 + 1)) +MINUTE(INDEX('1.Locations'!G2:G11,BS13 + 1)))</xm:f>
            <x14:dxf>
              <fill>
                <patternFill>
                  <bgColor indexed="10"/>
                </patternFill>
              </fill>
            </x14:dxf>
          </x14:cfRule>
          <xm:sqref>BX13</xm:sqref>
        </x14:conditionalFormatting>
        <x14:conditionalFormatting xmlns:xm="http://schemas.microsoft.com/office/excel/2006/main">
          <x14:cfRule type="expression" priority="198" stopIfTrue="1" id="{EC64106A-654A-409A-90B6-4628FF7498BB}">
            <xm:f>(60 * HOUR(BY13) + MINUTE(BY13)) &gt;(60 * HOUR(INDEX('1.Locations'!G2:G11,BS13 + 1)) +MINUTE(INDEX('1.Locations'!G2:G11,BS13 + 1)))</xm:f>
            <x14:dxf>
              <fill>
                <patternFill>
                  <bgColor indexed="10"/>
                </patternFill>
              </fill>
            </x14:dxf>
          </x14:cfRule>
          <xm:sqref>BY13</xm:sqref>
        </x14:conditionalFormatting>
        <x14:conditionalFormatting xmlns:xm="http://schemas.microsoft.com/office/excel/2006/main">
          <x14:cfRule type="cellIs" priority="199" stopIfTrue="1" operator="lessThan" id="{1909500B-3D4C-41F8-9AFE-84CC82DBE2AD}">
            <xm:f>INDEX('1.Locations'!F2:F11,BS14 + 1)</xm:f>
            <x14:dxf>
              <fill>
                <patternFill>
                  <bgColor indexed="52"/>
                </patternFill>
              </fill>
            </x14:dxf>
          </x14:cfRule>
          <xm:sqref>BX14</xm:sqref>
        </x14:conditionalFormatting>
        <x14:conditionalFormatting xmlns:xm="http://schemas.microsoft.com/office/excel/2006/main">
          <x14:cfRule type="expression" priority="200" stopIfTrue="1" id="{5018843D-971E-44C8-B3D5-0D59D006557D}">
            <xm:f>(60 * HOUR(BX14) + MINUTE(BX14)) &gt;(60 * HOUR(INDEX('1.Locations'!G2:G11,BS14 + 1)) +MINUTE(INDEX('1.Locations'!G2:G11,BS14 + 1)))</xm:f>
            <x14:dxf>
              <fill>
                <patternFill>
                  <bgColor indexed="10"/>
                </patternFill>
              </fill>
            </x14:dxf>
          </x14:cfRule>
          <xm:sqref>BX14</xm:sqref>
        </x14:conditionalFormatting>
        <x14:conditionalFormatting xmlns:xm="http://schemas.microsoft.com/office/excel/2006/main">
          <x14:cfRule type="expression" priority="201" stopIfTrue="1" id="{50F71F52-6885-4A2D-9C78-B9AA93691E21}">
            <xm:f>(60 * HOUR(BY14) + MINUTE(BY14)) &gt;(60 * HOUR(INDEX('1.Locations'!G2:G11,BS14 + 1)) +MINUTE(INDEX('1.Locations'!G2:G11,BS14 + 1)))</xm:f>
            <x14:dxf>
              <fill>
                <patternFill>
                  <bgColor indexed="10"/>
                </patternFill>
              </fill>
            </x14:dxf>
          </x14:cfRule>
          <xm:sqref>BY14</xm:sqref>
        </x14:conditionalFormatting>
        <x14:conditionalFormatting xmlns:xm="http://schemas.microsoft.com/office/excel/2006/main">
          <x14:cfRule type="cellIs" priority="202" stopIfTrue="1" operator="lessThan" id="{DEFC59E9-437F-4DFF-8A3E-0D30E8F35EB4}">
            <xm:f>INDEX('1.Locations'!F2:F11,BS15 + 1)</xm:f>
            <x14:dxf>
              <fill>
                <patternFill>
                  <bgColor indexed="52"/>
                </patternFill>
              </fill>
            </x14:dxf>
          </x14:cfRule>
          <xm:sqref>BX15</xm:sqref>
        </x14:conditionalFormatting>
        <x14:conditionalFormatting xmlns:xm="http://schemas.microsoft.com/office/excel/2006/main">
          <x14:cfRule type="expression" priority="203" stopIfTrue="1" id="{074CEFC9-1985-4B22-B5CA-ED22455649E6}">
            <xm:f>(60 * HOUR(BX15) + MINUTE(BX15)) &gt;(60 * HOUR(INDEX('1.Locations'!G2:G11,BS15 + 1)) +MINUTE(INDEX('1.Locations'!G2:G11,BS15 + 1)))</xm:f>
            <x14:dxf>
              <fill>
                <patternFill>
                  <bgColor indexed="10"/>
                </patternFill>
              </fill>
            </x14:dxf>
          </x14:cfRule>
          <xm:sqref>BX15</xm:sqref>
        </x14:conditionalFormatting>
        <x14:conditionalFormatting xmlns:xm="http://schemas.microsoft.com/office/excel/2006/main">
          <x14:cfRule type="expression" priority="204" stopIfTrue="1" id="{6AAC449F-0E13-4529-8212-4C63D40856E6}">
            <xm:f>(60 * HOUR(BY15) + MINUTE(BY15)) &gt;(60 * HOUR(INDEX('1.Locations'!G2:G11,BS15 + 1)) +MINUTE(INDEX('1.Locations'!G2:G11,BS15 + 1)))</xm:f>
            <x14:dxf>
              <fill>
                <patternFill>
                  <bgColor indexed="10"/>
                </patternFill>
              </fill>
            </x14:dxf>
          </x14:cfRule>
          <xm:sqref>BY15</xm:sqref>
        </x14:conditionalFormatting>
        <x14:conditionalFormatting xmlns:xm="http://schemas.microsoft.com/office/excel/2006/main">
          <x14:cfRule type="cellIs" priority="205" stopIfTrue="1" operator="greaterThan" id="{FEFC7AFD-1393-4210-A425-6F8BE0A6557F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BV6:BV15</xm:sqref>
        </x14:conditionalFormatting>
        <x14:conditionalFormatting xmlns:xm="http://schemas.microsoft.com/office/excel/2006/main">
          <x14:cfRule type="cellIs" priority="206" stopIfTrue="1" operator="greaterThan" id="{438AA9C2-89D1-428E-9467-852B4845352D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CF6:CF15</xm:sqref>
        </x14:conditionalFormatting>
        <x14:conditionalFormatting xmlns:xm="http://schemas.microsoft.com/office/excel/2006/main">
          <x14:cfRule type="cellIs" priority="208" stopIfTrue="1" operator="greaterThan" id="{76056909-BD8E-4795-9A31-AFA71EA3E6E1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BW6:BW15</xm:sqref>
        </x14:conditionalFormatting>
        <x14:conditionalFormatting xmlns:xm="http://schemas.microsoft.com/office/excel/2006/main">
          <x14:cfRule type="cellIs" priority="209" stopIfTrue="1" operator="greaterThan" id="{1DDCA0EC-633B-42F4-A597-D2D7EB254781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BZ6:BZ15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Warning" error="Please select a value from the list available in the selected cell." xr:uid="{9E19AB3D-4888-4651-B7E9-C85C3B1235BA}">
          <x14:formula1>
            <xm:f>'1.Locations'!$B$2:$B$12</xm:f>
          </x14:formula1>
          <xm:sqref>B6:B15</xm:sqref>
        </x14:dataValidation>
        <x14:dataValidation type="list" allowBlank="1" showInputMessage="1" showErrorMessage="1" errorTitle="Warning" error="Please select a value from the list available in the selected cell." xr:uid="{008F951A-D423-471D-B5F0-B672A20B8749}">
          <x14:formula1>
            <xm:f>'1.Locations'!$B$2:$B$12</xm:f>
          </x14:formula1>
          <xm:sqref>S6:S15</xm:sqref>
        </x14:dataValidation>
        <x14:dataValidation type="list" allowBlank="1" showInputMessage="1" showErrorMessage="1" errorTitle="Warning" error="Please select a value from the list available in the selected cell." xr:uid="{1EE1B06B-B749-4902-B4DC-91A94AD1FC6F}">
          <x14:formula1>
            <xm:f>'1.Locations'!$B$2:$B$12</xm:f>
          </x14:formula1>
          <xm:sqref>AJ6:AJ15</xm:sqref>
        </x14:dataValidation>
        <x14:dataValidation type="list" allowBlank="1" showInputMessage="1" showErrorMessage="1" errorTitle="Warning" error="Please select a value from the list available in the selected cell." xr:uid="{C6EBB0E2-CB88-4EE8-8F93-1974A07E62EF}">
          <x14:formula1>
            <xm:f>'1.Locations'!$B$2:$B$12</xm:f>
          </x14:formula1>
          <xm:sqref>BA6:BA15</xm:sqref>
        </x14:dataValidation>
        <x14:dataValidation type="list" allowBlank="1" showInputMessage="1" showErrorMessage="1" errorTitle="Warning" error="Please select a value from the list available in the selected cell." xr:uid="{A304F63F-D9FC-49D4-B097-08A4F0D00F45}">
          <x14:formula1>
            <xm:f>'1.Locations'!$B$2:$B$12</xm:f>
          </x14:formula1>
          <xm:sqref>BR6:BR15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2FA0-71C1-4EDF-8E5C-A4B2EE6A3C48}">
  <dimension ref="A1"/>
  <sheetViews>
    <sheetView tabSelected="1" zoomScale="80" zoomScaleNormal="80" workbookViewId="0"/>
  </sheetViews>
  <sheetFormatPr baseColWidth="10" defaultRowHeight="14.5" x14ac:dyDescent="0.35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tabActivate">
  <ribbon startFromScratch="false">
    <tabs>
      <tab id="VRPSpreadsheetSolver" label="VRP Spreadsheet Solver">
        <group id="customGroup1" autoScale="true">
          <menu id="menu1" label="0. Reset" imageMso="Delete" size="large">
            <button id="customButton1" label="0. Reset the workbook" imageMso="Delete" onAction="ResetWorkbookRibbonCall"/>
          </menu>
        </group>
        <group id="customGroup2" imageMso="SmallIcons">
          <menu id="menu2" label="1. Locations" imageMso="SmallIcons" size="large">
            <button id="customButton2" label="1.1. Setup Locations Worksheet" imageMso="AdpDiagramAddTable" onAction="SetupLocationsWorksheetRibbonCall"/>
            <button id="customButton3" label="1.2. Populate Lat/Lon using addresses" imageMso="WebPagePreview" onAction="PopulateLatitudeAndLongitudeRibbonCall"/>
            <button id="customButton4" label="1.3. Sort locations alphabetically" imageMso="SortUp" onAction="SortLocationsRibbonCall"/>
          </menu>
        </group>
        <group id="customGroup3" imageMso="ObjectEditPoints">
          <menu id="menu3" label="2. Distances" imageMso="ObjectEditPoints" size="large">
            <button id="customButton5" label="2.1. Setup Distances Worksheet" imageMso="AdpDiagramAddTable" onAction="SetupDistancesWorksheetRibbonCall"/>
            <button id="customButton6" label="2.2. Populate Distances Worksheet" imageMso="WebPagePreview" onAction="PopulateDistancesRibbonCall"/>
          </menu>
        </group>
        <group id="customGroup4">
          <menu id="menu4" label="3. Vehicles" imageMso="DiagramPyramidInsertClassic" size="large">
            <button id="customButton7" label="3.1. Setup Vehicles Worksheet" imageMso="AdpDiagramAddTable" onAction="SetupVehiclesWorksheetRibbonCall"/>
            <button id="customButton8" label="3.2. Setup Vehicle Compatibility Worksheet" imageMso="AdpDiagramAddTable" onAction="SetupVehicleCompatibilityWorksheetRibbonCall"/>
          </menu>
        </group>
        <group id="customGroup5">
          <menu id="menu5" label="4. Solution" imageMso="AdpPrimaryKey" size="large">
            <button id="customButton9" label="4. Setup Solution Worksheet" imageMso="AdpDiagramAddTable" onAction="SetupSolutionWorksheetRibbonCall"/>
          </menu>
        </group>
        <group id="customGroup6">
          <menu id="menu6" label="5. Visualization" imageMso="ShowTimeZones" size="large">
            <button id="customButton10" label="5. Setup Visualization Worksheet" imageMso="ShowTimeZones" onAction="SetupVisualizationWorksheetRibbonCall"/>
          </menu>
        </group>
        <group id="customGroup7" imageMso="AnimationStartDropdown">
          <menu id="menu7" label="6. Solver" imageMso="AnimationStartDropdown" size="large">
            <button id="customButton11" label="6.1. Engage VRP Spreadsheet Solver" imageMso="AnimationStartDropdown" onAction="VRP_Solver_ribbon_call"/>
            <button id="customButton12" label="6.2. Feasibility Check" imageMso="AdvancedFind" onAction="FeasibilityCheckDataAndSolutionRibbonCall"/>
            <button id="customButton13" label="6.3. Engage external solver" imageMso="TableIndexes" onAction="external_vrp_solver_ribbon_call"/>
          </menu>
        </group>
        <group id="customGroup8" imageMso="Info">
          <menu id="menu8" label="Info" imageMso="Info" size="large">
            <button id="customButton14" label="Send feedback or ask a question" imageMso="ContactCardSendEmail" onAction="SendFeedbackRibbonCall"/>
            <button id="customButton15" label="Watch the tutorial video on YouTube" imageMso="MovieFromFileInsert" onAction="WatchTutorialRibbonCall"/>
            <button id="customButton16" label="About" imageMso="Info" onAction="AboutRibbonCall"/>
          </menu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VRP Solver Console</vt:lpstr>
      <vt:lpstr>1.Locations</vt:lpstr>
      <vt:lpstr>2.Distances</vt:lpstr>
      <vt:lpstr>3.Vehicles</vt:lpstr>
      <vt:lpstr>4.Solution</vt:lpstr>
      <vt:lpstr>5.Visualization</vt:lpstr>
    </vt:vector>
  </TitlesOfParts>
  <Company>University of Bath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Gunes Erdogan</dc:creator>
  <cp:lastModifiedBy>iagon</cp:lastModifiedBy>
  <dcterms:created xsi:type="dcterms:W3CDTF">2013-07-17T23:20:08Z</dcterms:created>
  <dcterms:modified xsi:type="dcterms:W3CDTF">2021-03-05T17:49:38Z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ad658926-2846-4a1f-b94c-841c9b40b21b</vt:lpwstr>
  </property>
</Properties>
</file>